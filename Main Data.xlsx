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in CTB\"/>
    </mc:Choice>
  </mc:AlternateContent>
  <xr:revisionPtr revIDLastSave="0" documentId="13_ncr:1_{C7A4D7AF-0291-48C9-98CF-881E4181D4D5}" xr6:coauthVersionLast="47" xr6:coauthVersionMax="47" xr10:uidLastSave="{00000000-0000-0000-0000-000000000000}"/>
  <bookViews>
    <workbookView xWindow="-108" yWindow="-108" windowWidth="23256" windowHeight="13176" xr2:uid="{1A5BE229-D9C1-46A4-9BC4-63BDE7834480}"/>
  </bookViews>
  <sheets>
    <sheet name="Interview" sheetId="1" r:id="rId1"/>
    <sheet name="One Month Transaction Data" sheetId="2" r:id="rId2"/>
    <sheet name="Inventory Data" sheetId="3" r:id="rId3"/>
    <sheet name="Dashboard" sheetId="15" r:id="rId4"/>
    <sheet name="Cancellation Rate" sheetId="9" r:id="rId5"/>
    <sheet name="Cancellation Reason" sheetId="10" r:id="rId6"/>
    <sheet name="Profit and Loss" sheetId="11" r:id="rId7"/>
    <sheet name="Daily Order Trend" sheetId="16" r:id="rId8"/>
    <sheet name="Total Profit Contribution" sheetId="20" r:id="rId9"/>
    <sheet name="Average Profit Margin" sheetId="21" r:id="rId10"/>
    <sheet name="Order Volume" sheetId="18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<sst xmlns="http://schemas.openxmlformats.org/spreadsheetml/2006/main" count="310" uniqueCount="107">
  <si>
    <t>Interviewer_Question</t>
  </si>
  <si>
    <t>Entrepreneur_Response</t>
  </si>
  <si>
    <t>Can you tell me briefly about A.Z. Fashion and what you sell?</t>
  </si>
  <si>
    <t>We are a home-based boutique started in 2023. We specialize in ladies' formal wear specifically Bridal</t>
  </si>
  <si>
    <t xml:space="preserve"> Walima</t>
  </si>
  <si>
    <t xml:space="preserve"> Mehndi</t>
  </si>
  <si>
    <t xml:space="preserve"> and Party dresses. We take customized orders via Instagram.</t>
  </si>
  <si>
    <t>How do you currently manage your orders?</t>
  </si>
  <si>
    <t>Honestly it's a bit messy. I write orders in a notebook. Sometimes I forget to check the due date or I forget to order the fabric on time.</t>
  </si>
  <si>
    <t>How many dresses do you sell in a typical month?</t>
  </si>
  <si>
    <t>It varies. In February we had about 20-25 orders. A mix of heavy bridal and lighter party wear.</t>
  </si>
  <si>
    <t>What is the biggest challenge you are facing right now?</t>
  </si>
  <si>
    <t>I feel like I am working 24/7 but the money at the end of the month is less than I expect. Also customers get very angry when we are late.</t>
  </si>
  <si>
    <t>You mentioned being late. Does that happen often?</t>
  </si>
  <si>
    <t>Yes. Especially with the smaller Party Dresses. I focus so much on the big Bridal orders that I forget the small deadlines. When we are late customers cancel the order and I lose the profit.</t>
  </si>
  <si>
    <t>How many orders get rejected or delayed?</t>
  </si>
  <si>
    <t>I think about 20-30% of my small orders get cancelled because I can't deliver on time.</t>
  </si>
  <si>
    <t>Do you track which items get cancelled the most?</t>
  </si>
  <si>
    <t>No I don't track it formally. I just feel bad when it happens.</t>
  </si>
  <si>
    <t>Order_ID</t>
  </si>
  <si>
    <t>Order_Date</t>
  </si>
  <si>
    <t>Item_Type</t>
  </si>
  <si>
    <t>Customer_Type</t>
  </si>
  <si>
    <t>Cost_PKR</t>
  </si>
  <si>
    <t>Price_PKR</t>
  </si>
  <si>
    <t>Profit_PKR</t>
  </si>
  <si>
    <t>Profit_Margin_Pct</t>
  </si>
  <si>
    <t>Status</t>
  </si>
  <si>
    <t>Delivery_Date_Planned</t>
  </si>
  <si>
    <t>Delivery_Date_Actual</t>
  </si>
  <si>
    <t>Cancellation_Reason</t>
  </si>
  <si>
    <t>AZ-1001</t>
  </si>
  <si>
    <t>Bridal Dress</t>
  </si>
  <si>
    <t>New</t>
  </si>
  <si>
    <t>Delivered</t>
  </si>
  <si>
    <t>N/A</t>
  </si>
  <si>
    <t>AZ-1002</t>
  </si>
  <si>
    <t>Party Dress</t>
  </si>
  <si>
    <t>AZ-1003</t>
  </si>
  <si>
    <t>Returning</t>
  </si>
  <si>
    <t>Cancelled</t>
  </si>
  <si>
    <t>Late Delivery</t>
  </si>
  <si>
    <t>AZ-1004</t>
  </si>
  <si>
    <t>Mehndi Dress</t>
  </si>
  <si>
    <t>AZ-1005</t>
  </si>
  <si>
    <t>AZ-1006</t>
  </si>
  <si>
    <t>Walima Dress</t>
  </si>
  <si>
    <t>AZ-1007</t>
  </si>
  <si>
    <t>AZ-1008</t>
  </si>
  <si>
    <t>AZ-1009</t>
  </si>
  <si>
    <t>Material Unavailable</t>
  </si>
  <si>
    <t>AZ-1010</t>
  </si>
  <si>
    <t>AZ-1011</t>
  </si>
  <si>
    <t>AZ-1012</t>
  </si>
  <si>
    <t>AZ-1013</t>
  </si>
  <si>
    <t>AZ-1014</t>
  </si>
  <si>
    <t>Customer Changed Mind</t>
  </si>
  <si>
    <t>AZ-1015</t>
  </si>
  <si>
    <t>AZ-1016</t>
  </si>
  <si>
    <t>AZ-1017</t>
  </si>
  <si>
    <t>AZ-1018</t>
  </si>
  <si>
    <t>AZ-1019</t>
  </si>
  <si>
    <t>AZ-1020</t>
  </si>
  <si>
    <t>Material_Name</t>
  </si>
  <si>
    <t>Unit</t>
  </si>
  <si>
    <t>Opening_Stock_Feb1</t>
  </si>
  <si>
    <t>Used_in_Feb</t>
  </si>
  <si>
    <t>Remaining_Stock_Feb28</t>
  </si>
  <si>
    <t>Cost_Per_Unit_PKR</t>
  </si>
  <si>
    <t>Status_Alert</t>
  </si>
  <si>
    <t>Chiffon Fabric</t>
  </si>
  <si>
    <t>Yards</t>
  </si>
  <si>
    <t>Low Stock</t>
  </si>
  <si>
    <t>Raw Silk</t>
  </si>
  <si>
    <t>Adequate</t>
  </si>
  <si>
    <t>Velvet</t>
  </si>
  <si>
    <t>Critical</t>
  </si>
  <si>
    <t>Fancy Stone Work</t>
  </si>
  <si>
    <t>Packets</t>
  </si>
  <si>
    <t>Embroidery Thread</t>
  </si>
  <si>
    <t>Reels</t>
  </si>
  <si>
    <t>Lining Fabric</t>
  </si>
  <si>
    <t>Zari Thread</t>
  </si>
  <si>
    <t>Row Labels</t>
  </si>
  <si>
    <t>Grand Total</t>
  </si>
  <si>
    <t>Sum of Profit_PKR</t>
  </si>
  <si>
    <t>Column Labels</t>
  </si>
  <si>
    <t>Count of Order_ID</t>
  </si>
  <si>
    <t>Cancellation Reason</t>
  </si>
  <si>
    <t>AZ-1035</t>
  </si>
  <si>
    <t>AZ-1034</t>
  </si>
  <si>
    <t>AZ-1033</t>
  </si>
  <si>
    <t>AZ-1032</t>
  </si>
  <si>
    <t>AZ-1031</t>
  </si>
  <si>
    <t>AZ-1030</t>
  </si>
  <si>
    <t>AZ-1029</t>
  </si>
  <si>
    <t>AZ-1028</t>
  </si>
  <si>
    <t>AZ-1027</t>
  </si>
  <si>
    <t>AZ-1026</t>
  </si>
  <si>
    <t>AZ-1025</t>
  </si>
  <si>
    <t>AZ-1024</t>
  </si>
  <si>
    <t>AZ-1023</t>
  </si>
  <si>
    <t>AZ-1022</t>
  </si>
  <si>
    <t>AZ-1021</t>
  </si>
  <si>
    <t>(All)</t>
  </si>
  <si>
    <t>Count of Item_Type</t>
  </si>
  <si>
    <t>Average of Profit_Margin_Pct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</si>
</sst>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PKR]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3" formatCode="0%"/>
    </dxf>
    <dxf>
      <numFmt numFmtId="13" formatCode="0%"/>
    </dxf>
    <dxf>
      <numFmt numFmtId="19" formatCode="m/d/yyyy"/>
    </dxf>
    <dxf>
      <numFmt numFmtId="19" formatCode="m/d/yyyy"/>
    </dxf>
    <dxf>
      <numFmt numFmtId="14" formatCode="0.00%"/>
    </dxf>
    <dxf>
      <numFmt numFmtId="164" formatCode="[$PKR]\ #,##0.00"/>
    </dxf>
    <dxf>
      <numFmt numFmtId="164" formatCode="[$PKR]\ #,##0.00"/>
    </dxf>
    <dxf>
      <numFmt numFmtId="164" formatCode="[$PKR]\ 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Data.xlsx]Cancellation Rate!PivotTable5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Cancellation Rate by Product Category</a:t>
            </a:r>
            <a:endParaRPr lang="en-US"/>
          </a:p>
        </c:rich>
      </c:tx>
      <c:layout>
        <c:manualLayout>
          <c:xMode val="edge"/>
          <c:yMode val="edge"/>
          <c:x val="0.24924926368936706"/>
          <c:y val="8.8642765808120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'Cancellation Rate'!$B$3:$B$4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'Cancellation Rate'!$A$5:$A$9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'Cancellation Rate'!$B$5:$B$9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0.59090909090909094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C-4475-B782-D2A6F32FD8E3}"/>
            </c:ext>
          </c:extLst>
        </c:ser>
        <c:ser>
          <c:idx val="1"/>
          <c:order val="1"/>
          <c:tx>
            <c:strRef>
              <c:f>'Cancellation Rate'!$C$3:$C$4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'Cancellation Rate'!$A$5:$A$9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'Cancellation Rate'!$C$5:$C$9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0.40909090909090912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C-4475-B782-D2A6F32FD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5686224"/>
        <c:axId val="455682384"/>
      </c:barChart>
      <c:catAx>
        <c:axId val="45568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82384"/>
        <c:crosses val="autoZero"/>
        <c:auto val="1"/>
        <c:lblAlgn val="ctr"/>
        <c:lblOffset val="100"/>
        <c:noMultiLvlLbl val="0"/>
      </c:catAx>
      <c:valAx>
        <c:axId val="45568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8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Data.xlsx]Profit and Loss!PivotTable7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of Profit from Party Dresses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and Loss'!$A$4:$A$5</c:f>
              <c:strCache>
                <c:ptCount val="1"/>
                <c:pt idx="0">
                  <c:v>Party Dress</c:v>
                </c:pt>
              </c:strCache>
            </c:strRef>
          </c:cat>
          <c:val>
            <c:numRef>
              <c:f>'Profit and Loss'!$B$4:$B$5</c:f>
              <c:numCache>
                <c:formatCode>General</c:formatCode>
                <c:ptCount val="1"/>
                <c:pt idx="0">
                  <c:v>51800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ED-4066-AFB5-C0A114324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923392"/>
        <c:axId val="294916672"/>
      </c:barChart>
      <c:catAx>
        <c:axId val="2949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16672"/>
        <c:crosses val="autoZero"/>
        <c:auto val="1"/>
        <c:lblAlgn val="ctr"/>
        <c:lblOffset val="100"/>
        <c:noMultiLvlLbl val="0"/>
      </c:catAx>
      <c:valAx>
        <c:axId val="2949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2339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Data.xlsx]Profit and Loss!PivotTable8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and Loss'!$A$14:$A$18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'Profit and Loss'!$B$14:$B$18</c:f>
              <c:numCache>
                <c:formatCode>General</c:formatCode>
                <c:ptCount val="4"/>
                <c:pt idx="0">
                  <c:v>169000</c:v>
                </c:pt>
                <c:pt idx="1">
                  <c:v>94000</c:v>
                </c:pt>
                <c:pt idx="2">
                  <c:v>36000</c:v>
                </c:pt>
                <c:pt idx="3">
                  <c:v>182000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0-46C3-BCD3-62F56B49C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923392"/>
        <c:axId val="294916672"/>
      </c:barChart>
      <c:catAx>
        <c:axId val="2949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16672"/>
        <c:crosses val="autoZero"/>
        <c:auto val="1"/>
        <c:lblAlgn val="ctr"/>
        <c:lblOffset val="100"/>
        <c:noMultiLvlLbl val="0"/>
      </c:catAx>
      <c:valAx>
        <c:axId val="2949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2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Data.xlsx]Daily Order Trend!PivotTable10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'Daily Order Trend'!$B$3:$B$4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Order Trend'!$A$5:$A$22</c:f>
              <c:strCache>
                <c:ptCount val="17"/>
                <c:pt idx="0">
                  <c:v>2/1/2025</c:v>
                </c:pt>
                <c:pt idx="1">
                  <c:v>2/2/2025</c:v>
                </c:pt>
                <c:pt idx="2">
                  <c:v>2/3/2025</c:v>
                </c:pt>
                <c:pt idx="3">
                  <c:v>2/5/2025</c:v>
                </c:pt>
                <c:pt idx="4">
                  <c:v>2/6/2025</c:v>
                </c:pt>
                <c:pt idx="5">
                  <c:v>2/7/2025</c:v>
                </c:pt>
                <c:pt idx="6">
                  <c:v>2/9/2025</c:v>
                </c:pt>
                <c:pt idx="7">
                  <c:v>2/10/2025</c:v>
                </c:pt>
                <c:pt idx="8">
                  <c:v>2/12/2025</c:v>
                </c:pt>
                <c:pt idx="9">
                  <c:v>2/13/2025</c:v>
                </c:pt>
                <c:pt idx="10">
                  <c:v>2/15/2025</c:v>
                </c:pt>
                <c:pt idx="11">
                  <c:v>2/18/2025</c:v>
                </c:pt>
                <c:pt idx="12">
                  <c:v>2/20/2025</c:v>
                </c:pt>
                <c:pt idx="13">
                  <c:v>2/22/2025</c:v>
                </c:pt>
                <c:pt idx="14">
                  <c:v>2/24/2025</c:v>
                </c:pt>
                <c:pt idx="15">
                  <c:v>2/25/2025</c:v>
                </c:pt>
                <c:pt idx="16">
                  <c:v>2/28/2025</c:v>
                </c:pt>
              </c:strCache>
            </c:strRef>
          </c:cat>
          <c:val>
            <c:numRef>
              <c:f>'Daily Order Trend'!$B$5:$B$22</c:f>
              <c:numCache>
                <c:formatCode>General</c:formatCode>
                <c:ptCount val="17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5-442E-86BA-A2E183A14DCA}"/>
            </c:ext>
          </c:extLst>
        </c:ser>
        <c:ser>
          <c:idx val="1"/>
          <c:order val="1"/>
          <c:tx>
            <c:strRef>
              <c:f>'Daily Order Trend'!$C$3:$C$4</c:f>
              <c:strCache>
                <c:ptCount val="1"/>
                <c:pt idx="0">
                  <c:v>Delivered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Order Trend'!$A$5:$A$22</c:f>
              <c:strCache>
                <c:ptCount val="17"/>
                <c:pt idx="0">
                  <c:v>2/1/2025</c:v>
                </c:pt>
                <c:pt idx="1">
                  <c:v>2/2/2025</c:v>
                </c:pt>
                <c:pt idx="2">
                  <c:v>2/3/2025</c:v>
                </c:pt>
                <c:pt idx="3">
                  <c:v>2/5/2025</c:v>
                </c:pt>
                <c:pt idx="4">
                  <c:v>2/6/2025</c:v>
                </c:pt>
                <c:pt idx="5">
                  <c:v>2/7/2025</c:v>
                </c:pt>
                <c:pt idx="6">
                  <c:v>2/9/2025</c:v>
                </c:pt>
                <c:pt idx="7">
                  <c:v>2/10/2025</c:v>
                </c:pt>
                <c:pt idx="8">
                  <c:v>2/12/2025</c:v>
                </c:pt>
                <c:pt idx="9">
                  <c:v>2/13/2025</c:v>
                </c:pt>
                <c:pt idx="10">
                  <c:v>2/15/2025</c:v>
                </c:pt>
                <c:pt idx="11">
                  <c:v>2/18/2025</c:v>
                </c:pt>
                <c:pt idx="12">
                  <c:v>2/20/2025</c:v>
                </c:pt>
                <c:pt idx="13">
                  <c:v>2/22/2025</c:v>
                </c:pt>
                <c:pt idx="14">
                  <c:v>2/24/2025</c:v>
                </c:pt>
                <c:pt idx="15">
                  <c:v>2/25/2025</c:v>
                </c:pt>
                <c:pt idx="16">
                  <c:v>2/28/2025</c:v>
                </c:pt>
              </c:strCache>
            </c:strRef>
          </c:cat>
          <c:val>
            <c:numRef>
              <c:f>'Daily Order Trend'!$C$5:$C$22</c:f>
              <c:numCache>
                <c:formatCode>General</c:formatCode>
                <c:ptCount val="17"/>
                <c:pt idx="0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5-442E-86BA-A2E183A14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684304"/>
        <c:axId val="455685264"/>
      </c:lineChart>
      <c:catAx>
        <c:axId val="45568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85264"/>
        <c:crosses val="autoZero"/>
        <c:auto val="1"/>
        <c:lblAlgn val="ctr"/>
        <c:lblOffset val="100"/>
        <c:noMultiLvlLbl val="0"/>
      </c:catAx>
      <c:valAx>
        <c:axId val="45568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Data.xlsx]Cancellation Reason!PivotTable6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Cancellation</a:t>
            </a:r>
            <a:r>
              <a:rPr lang="en-US" baseline="0"/>
              <a:t> Reason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'Cancellation Reason'!$B$3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62-4E18-A0AC-75BDBC06B9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62-4E18-A0AC-75BDBC06B9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62-4E18-A0AC-75BDBC06B9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62-4E18-A0AC-75BDBC06B96D}"/>
              </c:ext>
            </c:extLst>
          </c:dPt>
          <c:cat>
            <c:strRef>
              <c:f>'Cancellation Reason'!$A$4:$A$8</c:f>
              <c:strCache>
                <c:ptCount val="4"/>
                <c:pt idx="0">
                  <c:v>Customer Changed Mind</c:v>
                </c:pt>
                <c:pt idx="1">
                  <c:v>Late Delivery</c:v>
                </c:pt>
                <c:pt idx="2">
                  <c:v>Material Unavailable</c:v>
                </c:pt>
                <c:pt idx="3">
                  <c:v>N/A</c:v>
                </c:pt>
              </c:strCache>
            </c:strRef>
          </c:cat>
          <c:val>
            <c:numRef>
              <c:f>'Cancellation Reason'!$B$4:$B$8</c:f>
              <c:numCache>
                <c:formatCode>General</c:formatCode>
                <c:ptCount val="4"/>
                <c:pt idx="0">
                  <c:v>1</c:v>
                </c:pt>
                <c:pt idx="1">
                  <c:v>9</c:v>
                </c:pt>
                <c:pt idx="2">
                  <c:v>3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62-4E18-A0AC-75BDBC06B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Data.xlsx]Average Profit Margin!PivotTable4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Profit Margin %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Profit 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Profit Margin'!$A$4:$A$8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'Average Profit Margin'!$B$4:$B$8</c:f>
              <c:numCache>
                <c:formatCode>0%</c:formatCode>
                <c:ptCount val="4"/>
                <c:pt idx="0">
                  <c:v>0.47207500000000002</c:v>
                </c:pt>
                <c:pt idx="1">
                  <c:v>0.43936000000000003</c:v>
                </c:pt>
                <c:pt idx="2">
                  <c:v>0.33348636363636369</c:v>
                </c:pt>
                <c:pt idx="3">
                  <c:v>0.46442499999999998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7-4198-8DC6-6A22AB1E2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710720"/>
        <c:axId val="834700160"/>
      </c:barChart>
      <c:catAx>
        <c:axId val="83471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00160"/>
        <c:crosses val="autoZero"/>
        <c:auto val="1"/>
        <c:lblAlgn val="ctr"/>
        <c:lblOffset val="100"/>
        <c:noMultiLvlLbl val="0"/>
      </c:catAx>
      <c:valAx>
        <c:axId val="83470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1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Data.xlsx]Total Profit Contribution!PivotTable2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Profit Contribution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372790901137358"/>
              <c:y val="9.338218139399241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47E8D6C4-2EDA-441F-93F1-A46D1032F006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488003062117235"/>
              <c:y val="9.0731627296587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372790901137358"/>
              <c:y val="9.338218139399241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47E8D6C4-2EDA-441F-93F1-A46D1032F006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488003062117235"/>
              <c:y val="9.0731627296587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372790901137358"/>
              <c:y val="9.338218139399241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47E8D6C4-2EDA-441F-93F1-A46D1032F006}" type="VALU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488003062117235"/>
              <c:y val="9.0731627296587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'Total Profit Contribution'!$B$3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02-4237-B1C8-67884B0A2F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02-4237-B1C8-67884B0A2F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02-4237-B1C8-67884B0A2F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02-4237-B1C8-67884B0A2F30}"/>
              </c:ext>
            </c:extLst>
          </c:dPt>
          <c:dLbls>
            <c:dLbl>
              <c:idx val="0"/>
              <c:layout>
                <c:manualLayout>
                  <c:x val="-0.12372790901137358"/>
                  <c:y val="9.3382181393992417E-2"/>
                </c:manualLayout>
              </c:layout>
              <c:tx>
                <c:rich>
                  <a:bodyPr/>
                  <a:lstStyle/>
                  <a:p>
                    <a:fld id="{47E8D6C4-2EDA-441F-93F1-A46D1032F00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502-4237-B1C8-67884B0A2F30}"/>
                </c:ext>
              </c:extLst>
            </c:dLbl>
            <c:dLbl>
              <c:idx val="3"/>
              <c:layout>
                <c:manualLayout>
                  <c:x val="0.12488003062117235"/>
                  <c:y val="9.07316272965879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02-4237-B1C8-67884B0A2F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Profit Contribution'!$A$4:$A$8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'Total Profit Contribution'!$B$4:$B$8</c:f>
              <c:numCache>
                <c:formatCode>0.00%</c:formatCode>
                <c:ptCount val="4"/>
                <c:pt idx="0">
                  <c:v>0.31719219219219219</c:v>
                </c:pt>
                <c:pt idx="1">
                  <c:v>0.17642642642642642</c:v>
                </c:pt>
                <c:pt idx="2">
                  <c:v>0.16478978978978978</c:v>
                </c:pt>
                <c:pt idx="3">
                  <c:v>0.34159159159159158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02-4237-B1C8-67884B0A2F3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Data.xlsx]Order Volume!PivotTable1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Order Volume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Volume'!$B$3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Volume'!$A$4:$A$8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'Order Volume'!$B$4:$B$8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22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F-4EFB-86A9-0C5A4317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704480"/>
        <c:axId val="834711200"/>
      </c:barChart>
      <c:catAx>
        <c:axId val="83470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11200"/>
        <c:crosses val="autoZero"/>
        <c:auto val="1"/>
        <c:lblAlgn val="ctr"/>
        <c:lblOffset val="100"/>
        <c:noMultiLvlLbl val="0"/>
      </c:catAx>
      <c:valAx>
        <c:axId val="8347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0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Data.xlsx]Cancellation Rate!PivotTable5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Cancellation Rate by Product Category</a:t>
            </a:r>
            <a:endParaRPr lang="en-US"/>
          </a:p>
        </c:rich>
      </c:tx>
      <c:layout>
        <c:manualLayout>
          <c:xMode val="edge"/>
          <c:yMode val="edge"/>
          <c:x val="0.24924926368936706"/>
          <c:y val="8.8642765808120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'Cancellation Rate'!$B$3:$B$4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'Cancellation Rate'!$A$5:$A$9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'Cancellation Rate'!$B$5:$B$9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0.59090909090909094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5-439B-836C-B91C6BB9F21F}"/>
            </c:ext>
          </c:extLst>
        </c:ser>
        <c:ser>
          <c:idx val="1"/>
          <c:order val="1"/>
          <c:tx>
            <c:strRef>
              <c:f>'Cancellation Rate'!$C$3:$C$4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'Cancellation Rate'!$A$5:$A$9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'Cancellation Rate'!$C$5:$C$9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0.40909090909090912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5-439B-836C-B91C6BB9F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5686224"/>
        <c:axId val="455682384"/>
      </c:barChart>
      <c:catAx>
        <c:axId val="45568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82384"/>
        <c:crosses val="autoZero"/>
        <c:auto val="1"/>
        <c:lblAlgn val="ctr"/>
        <c:lblOffset val="100"/>
        <c:noMultiLvlLbl val="0"/>
      </c:catAx>
      <c:valAx>
        <c:axId val="45568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8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Data.xlsx]Cancellation Reason!PivotTable6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Cancellation</a:t>
            </a:r>
            <a:r>
              <a:rPr lang="en-US" baseline="0"/>
              <a:t> Reason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'Cancellation Reason'!$B$3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A3-4FE9-9A3B-B1392E70E8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A3-4FE9-9A3B-B1392E70E8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A3-4FE9-9A3B-B1392E70E8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A3-4FE9-9A3B-B1392E70E83E}"/>
              </c:ext>
            </c:extLst>
          </c:dPt>
          <c:cat>
            <c:strRef>
              <c:f>'Cancellation Reason'!$A$4:$A$8</c:f>
              <c:strCache>
                <c:ptCount val="4"/>
                <c:pt idx="0">
                  <c:v>Customer Changed Mind</c:v>
                </c:pt>
                <c:pt idx="1">
                  <c:v>Late Delivery</c:v>
                </c:pt>
                <c:pt idx="2">
                  <c:v>Material Unavailable</c:v>
                </c:pt>
                <c:pt idx="3">
                  <c:v>N/A</c:v>
                </c:pt>
              </c:strCache>
            </c:strRef>
          </c:cat>
          <c:val>
            <c:numRef>
              <c:f>'Cancellation Reason'!$B$4:$B$8</c:f>
              <c:numCache>
                <c:formatCode>General</c:formatCode>
                <c:ptCount val="4"/>
                <c:pt idx="0">
                  <c:v>1</c:v>
                </c:pt>
                <c:pt idx="1">
                  <c:v>9</c:v>
                </c:pt>
                <c:pt idx="2">
                  <c:v>3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2-4BD4-8418-6D2105507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Data.xlsx]Profit and Loss!PivotTable7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  <a:r>
              <a:rPr lang="en-US" baseline="0"/>
              <a:t> of Profit from Party Dresses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and Loss'!$A$4:$A$5</c:f>
              <c:strCache>
                <c:ptCount val="1"/>
                <c:pt idx="0">
                  <c:v>Party Dress</c:v>
                </c:pt>
              </c:strCache>
            </c:strRef>
          </c:cat>
          <c:val>
            <c:numRef>
              <c:f>'Profit and Loss'!$B$4:$B$5</c:f>
              <c:numCache>
                <c:formatCode>General</c:formatCode>
                <c:ptCount val="1"/>
                <c:pt idx="0">
                  <c:v>51800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5-4A6B-8F6C-77A4B8C27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173472"/>
        <c:axId val="295173952"/>
      </c:barChart>
      <c:catAx>
        <c:axId val="29517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73952"/>
        <c:crosses val="autoZero"/>
        <c:auto val="1"/>
        <c:lblAlgn val="ctr"/>
        <c:lblOffset val="100"/>
        <c:noMultiLvlLbl val="0"/>
      </c:catAx>
      <c:valAx>
        <c:axId val="29517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17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Data.xlsx]Profit and Loss!PivotTable8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and Loss'!$B$13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and Loss'!$A$14:$A$18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'Profit and Loss'!$B$14:$B$18</c:f>
              <c:numCache>
                <c:formatCode>General</c:formatCode>
                <c:ptCount val="4"/>
                <c:pt idx="0">
                  <c:v>169000</c:v>
                </c:pt>
                <c:pt idx="1">
                  <c:v>94000</c:v>
                </c:pt>
                <c:pt idx="2">
                  <c:v>36000</c:v>
                </c:pt>
                <c:pt idx="3">
                  <c:v>182000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B-47DE-B6BB-82E908F5D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923392"/>
        <c:axId val="294916672"/>
      </c:barChart>
      <c:catAx>
        <c:axId val="2949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16672"/>
        <c:crosses val="autoZero"/>
        <c:auto val="1"/>
        <c:lblAlgn val="ctr"/>
        <c:lblOffset val="100"/>
        <c:noMultiLvlLbl val="0"/>
      </c:catAx>
      <c:valAx>
        <c:axId val="2949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2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Data.xlsx]Daily Order Trend!PivotTable10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'Daily Order Trend'!$B$3:$B$4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Order Trend'!$A$5:$A$22</c:f>
              <c:strCache>
                <c:ptCount val="17"/>
                <c:pt idx="0">
                  <c:v>2/1/2025</c:v>
                </c:pt>
                <c:pt idx="1">
                  <c:v>2/2/2025</c:v>
                </c:pt>
                <c:pt idx="2">
                  <c:v>2/3/2025</c:v>
                </c:pt>
                <c:pt idx="3">
                  <c:v>2/5/2025</c:v>
                </c:pt>
                <c:pt idx="4">
                  <c:v>2/6/2025</c:v>
                </c:pt>
                <c:pt idx="5">
                  <c:v>2/7/2025</c:v>
                </c:pt>
                <c:pt idx="6">
                  <c:v>2/9/2025</c:v>
                </c:pt>
                <c:pt idx="7">
                  <c:v>2/10/2025</c:v>
                </c:pt>
                <c:pt idx="8">
                  <c:v>2/12/2025</c:v>
                </c:pt>
                <c:pt idx="9">
                  <c:v>2/13/2025</c:v>
                </c:pt>
                <c:pt idx="10">
                  <c:v>2/15/2025</c:v>
                </c:pt>
                <c:pt idx="11">
                  <c:v>2/18/2025</c:v>
                </c:pt>
                <c:pt idx="12">
                  <c:v>2/20/2025</c:v>
                </c:pt>
                <c:pt idx="13">
                  <c:v>2/22/2025</c:v>
                </c:pt>
                <c:pt idx="14">
                  <c:v>2/24/2025</c:v>
                </c:pt>
                <c:pt idx="15">
                  <c:v>2/25/2025</c:v>
                </c:pt>
                <c:pt idx="16">
                  <c:v>2/28/2025</c:v>
                </c:pt>
              </c:strCache>
            </c:strRef>
          </c:cat>
          <c:val>
            <c:numRef>
              <c:f>'Daily Order Trend'!$B$5:$B$22</c:f>
              <c:numCache>
                <c:formatCode>General</c:formatCode>
                <c:ptCount val="17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41-4128-ADB0-20BB8EA65E0F}"/>
            </c:ext>
          </c:extLst>
        </c:ser>
        <c:ser>
          <c:idx val="1"/>
          <c:order val="1"/>
          <c:tx>
            <c:strRef>
              <c:f>'Daily Order Trend'!$C$3:$C$4</c:f>
              <c:strCache>
                <c:ptCount val="1"/>
                <c:pt idx="0">
                  <c:v>Delivered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Order Trend'!$A$5:$A$22</c:f>
              <c:strCache>
                <c:ptCount val="17"/>
                <c:pt idx="0">
                  <c:v>2/1/2025</c:v>
                </c:pt>
                <c:pt idx="1">
                  <c:v>2/2/2025</c:v>
                </c:pt>
                <c:pt idx="2">
                  <c:v>2/3/2025</c:v>
                </c:pt>
                <c:pt idx="3">
                  <c:v>2/5/2025</c:v>
                </c:pt>
                <c:pt idx="4">
                  <c:v>2/6/2025</c:v>
                </c:pt>
                <c:pt idx="5">
                  <c:v>2/7/2025</c:v>
                </c:pt>
                <c:pt idx="6">
                  <c:v>2/9/2025</c:v>
                </c:pt>
                <c:pt idx="7">
                  <c:v>2/10/2025</c:v>
                </c:pt>
                <c:pt idx="8">
                  <c:v>2/12/2025</c:v>
                </c:pt>
                <c:pt idx="9">
                  <c:v>2/13/2025</c:v>
                </c:pt>
                <c:pt idx="10">
                  <c:v>2/15/2025</c:v>
                </c:pt>
                <c:pt idx="11">
                  <c:v>2/18/2025</c:v>
                </c:pt>
                <c:pt idx="12">
                  <c:v>2/20/2025</c:v>
                </c:pt>
                <c:pt idx="13">
                  <c:v>2/22/2025</c:v>
                </c:pt>
                <c:pt idx="14">
                  <c:v>2/24/2025</c:v>
                </c:pt>
                <c:pt idx="15">
                  <c:v>2/25/2025</c:v>
                </c:pt>
                <c:pt idx="16">
                  <c:v>2/28/2025</c:v>
                </c:pt>
              </c:strCache>
            </c:strRef>
          </c:cat>
          <c:val>
            <c:numRef>
              <c:f>'Daily Order Trend'!$C$5:$C$22</c:f>
              <c:numCache>
                <c:formatCode>General</c:formatCode>
                <c:ptCount val="17"/>
                <c:pt idx="0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41-4128-ADB0-20BB8EA65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684304"/>
        <c:axId val="455685264"/>
      </c:lineChart>
      <c:catAx>
        <c:axId val="45568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85264"/>
        <c:crosses val="autoZero"/>
        <c:auto val="1"/>
        <c:lblAlgn val="ctr"/>
        <c:lblOffset val="100"/>
        <c:noMultiLvlLbl val="0"/>
      </c:catAx>
      <c:valAx>
        <c:axId val="45568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Data.xlsx]Total Profit Contribution!PivotTable2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Profit Contribution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372790901137358"/>
              <c:y val="9.338218139399241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47E8D6C4-2EDA-441F-93F1-A46D1032F006}" type="VALUE">
                  <a:rPr lang="en-US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488003062117235"/>
              <c:y val="9.0731627296587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Profit Contribution'!$B$3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1B7-4CD7-8E2F-E3E6736DB3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77-4744-B2CC-FEE3BDD0FD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77-4744-B2CC-FEE3BDD0FD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B7-4CD7-8E2F-E3E6736DB34F}"/>
              </c:ext>
            </c:extLst>
          </c:dPt>
          <c:dLbls>
            <c:dLbl>
              <c:idx val="0"/>
              <c:layout>
                <c:manualLayout>
                  <c:x val="-0.12372790901137358"/>
                  <c:y val="9.3382181393992417E-2"/>
                </c:manualLayout>
              </c:layout>
              <c:tx>
                <c:rich>
                  <a:bodyPr/>
                  <a:lstStyle/>
                  <a:p>
                    <a:fld id="{47E8D6C4-2EDA-441F-93F1-A46D1032F00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1B7-4CD7-8E2F-E3E6736DB34F}"/>
                </c:ext>
              </c:extLst>
            </c:dLbl>
            <c:dLbl>
              <c:idx val="3"/>
              <c:layout>
                <c:manualLayout>
                  <c:x val="0.12488003062117235"/>
                  <c:y val="9.07316272965879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B7-4CD7-8E2F-E3E6736DB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Profit Contribution'!$A$4:$A$8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'Total Profit Contribution'!$B$4:$B$8</c:f>
              <c:numCache>
                <c:formatCode>0.00%</c:formatCode>
                <c:ptCount val="4"/>
                <c:pt idx="0">
                  <c:v>0.31719219219219219</c:v>
                </c:pt>
                <c:pt idx="1">
                  <c:v>0.17642642642642642</c:v>
                </c:pt>
                <c:pt idx="2">
                  <c:v>0.16478978978978978</c:v>
                </c:pt>
                <c:pt idx="3">
                  <c:v>0.34159159159159158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7-4CD7-8E2F-E3E6736DB3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Data.xlsx]Average Profit Margin!PivotTable4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Profit Margin %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Profit 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Profit Margin'!$A$4:$A$8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'Average Profit Margin'!$B$4:$B$8</c:f>
              <c:numCache>
                <c:formatCode>0%</c:formatCode>
                <c:ptCount val="4"/>
                <c:pt idx="0">
                  <c:v>0.47207500000000002</c:v>
                </c:pt>
                <c:pt idx="1">
                  <c:v>0.43936000000000003</c:v>
                </c:pt>
                <c:pt idx="2">
                  <c:v>0.33348636363636369</c:v>
                </c:pt>
                <c:pt idx="3">
                  <c:v>0.46442499999999998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C-4DA3-8B65-6C2B6EBA4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710720"/>
        <c:axId val="834700160"/>
      </c:barChart>
      <c:catAx>
        <c:axId val="83471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00160"/>
        <c:crosses val="autoZero"/>
        <c:auto val="1"/>
        <c:lblAlgn val="ctr"/>
        <c:lblOffset val="100"/>
        <c:noMultiLvlLbl val="0"/>
      </c:catAx>
      <c:valAx>
        <c:axId val="83470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1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Data.xlsx]Order Volume!PivotTable1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Order Volume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Volume'!$B$3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Volume'!$A$4:$A$8</c:f>
              <c:strCache>
                <c:ptCount val="4"/>
                <c:pt idx="0">
                  <c:v>Bridal Dress</c:v>
                </c:pt>
                <c:pt idx="1">
                  <c:v>Mehndi Dress</c:v>
                </c:pt>
                <c:pt idx="2">
                  <c:v>Party Dress</c:v>
                </c:pt>
                <c:pt idx="3">
                  <c:v>Walima Dress</c:v>
                </c:pt>
              </c:strCache>
            </c:strRef>
          </c:cat>
          <c:val>
            <c:numRef>
              <c:f>'Order Volume'!$B$4:$B$8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22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A-41D9-8E4F-697740E76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704480"/>
        <c:axId val="834711200"/>
      </c:barChart>
      <c:catAx>
        <c:axId val="83470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11200"/>
        <c:crosses val="autoZero"/>
        <c:auto val="1"/>
        <c:lblAlgn val="ctr"/>
        <c:lblOffset val="100"/>
        <c:noMultiLvlLbl val="0"/>
      </c:catAx>
      <c:valAx>
        <c:axId val="8347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0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15241</xdr:rowOff>
    </xdr:from>
    <xdr:to>
      <xdr:col>7</xdr:col>
      <xdr:colOff>388620</xdr:colOff>
      <xdr:row>15</xdr:row>
      <xdr:rowOff>30481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1670E-CF9F-47BF-BD9D-D75C1744B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419100</xdr:colOff>
      <xdr:row>0</xdr:row>
      <xdr:rowOff>22860</xdr:rowOff>
    </xdr:from>
    <xdr:to>
      <xdr:col>15</xdr:col>
      <xdr:colOff>190500</xdr:colOff>
      <xdr:row>15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665FCC-54A8-4E66-ACA8-9DB6551A4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30480</xdr:rowOff>
    </xdr:from>
    <xdr:to>
      <xdr:col>7</xdr:col>
      <xdr:colOff>381000</xdr:colOff>
      <xdr:row>30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765BBD-7CEA-45D0-A9B1-73EB14E13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396240</xdr:colOff>
      <xdr:row>15</xdr:row>
      <xdr:rowOff>0</xdr:rowOff>
    </xdr:from>
    <xdr:to>
      <xdr:col>15</xdr:col>
      <xdr:colOff>213360</xdr:colOff>
      <xdr:row>30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FC58B8-72BC-433B-88C8-260928069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205740</xdr:colOff>
      <xdr:row>0</xdr:row>
      <xdr:rowOff>0</xdr:rowOff>
    </xdr:from>
    <xdr:to>
      <xdr:col>23</xdr:col>
      <xdr:colOff>15240</xdr:colOff>
      <xdr:row>15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0B900C-9622-4A8D-A364-04206D378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198120</xdr:colOff>
      <xdr:row>15</xdr:row>
      <xdr:rowOff>7620</xdr:rowOff>
    </xdr:from>
    <xdr:to>
      <xdr:col>22</xdr:col>
      <xdr:colOff>601980</xdr:colOff>
      <xdr:row>30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D35CCA-C403-40C0-AC67-7A8E891C2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594360</xdr:colOff>
      <xdr:row>15</xdr:row>
      <xdr:rowOff>15240</xdr:rowOff>
    </xdr:from>
    <xdr:to>
      <xdr:col>30</xdr:col>
      <xdr:colOff>289560</xdr:colOff>
      <xdr:row>30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301AEF-BB99-4CD2-82C6-8C4E0D5F1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579120</xdr:colOff>
      <xdr:row>0</xdr:row>
      <xdr:rowOff>22860</xdr:rowOff>
    </xdr:from>
    <xdr:to>
      <xdr:col>30</xdr:col>
      <xdr:colOff>274320</xdr:colOff>
      <xdr:row>15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613FCA-6215-49CE-B209-16CD4EDE9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1</xdr:row>
      <xdr:rowOff>80010</xdr:rowOff>
    </xdr:from>
    <xdr:to>
      <xdr:col>13</xdr:col>
      <xdr:colOff>83820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19D77-C726-E4B2-E317-EB4BABD7D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3810</xdr:rowOff>
    </xdr:from>
    <xdr:to>
      <xdr:col>11</xdr:col>
      <xdr:colOff>350520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D7E5-E389-0A32-9661-536CB34B4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26670</xdr:rowOff>
    </xdr:from>
    <xdr:to>
      <xdr:col>11</xdr:col>
      <xdr:colOff>312420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71F50-AFCC-11A3-5711-2EE2F702E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594360</xdr:colOff>
      <xdr:row>15</xdr:row>
      <xdr:rowOff>41910</xdr:rowOff>
    </xdr:from>
    <xdr:to>
      <xdr:col>11</xdr:col>
      <xdr:colOff>289560</xdr:colOff>
      <xdr:row>30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7EF7B-4785-22F3-C705-8944767CE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2</xdr:row>
      <xdr:rowOff>11430</xdr:rowOff>
    </xdr:from>
    <xdr:to>
      <xdr:col>15</xdr:col>
      <xdr:colOff>38100</xdr:colOff>
      <xdr:row>21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08F07D-B8B8-8679-0B27-F4FA33A4D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2</xdr:row>
      <xdr:rowOff>11430</xdr:rowOff>
    </xdr:from>
    <xdr:to>
      <xdr:col>10</xdr:col>
      <xdr:colOff>411480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0A43A-8CFC-5494-E5C3-853786D8C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171450</xdr:rowOff>
    </xdr:from>
    <xdr:to>
      <xdr:col>10</xdr:col>
      <xdr:colOff>281940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755A9-EE21-90C2-3BE8-E3567ADF9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11430</xdr:rowOff>
    </xdr:from>
    <xdr:to>
      <xdr:col>10</xdr:col>
      <xdr:colOff>396240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4DD6C-E439-CA5F-5649-ED4B8609F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01.536682638885" createdVersion="8" refreshedVersion="8" minRefreshableVersion="3" recordCount="35" xr:uid="{AD5869A1-9EAB-4BD7-BC9E-0898ED73999A}">
  <cacheSource type="worksheet">
    <worksheetSource name="Table3"/>
  </cacheSource>
  <cacheFields count="12">
    <cacheField name="Order_ID" numFmtId="0">
      <sharedItems/>
    </cacheField>
    <cacheField name="Order_Date" numFmtId="14">
      <sharedItems containsSemiMixedTypes="0" containsNonDate="0" containsDate="1" containsString="0" minDate="2025-02-01T00:00:00" maxDate="2025-03-01T00:00:00" count="17">
        <d v="2025-02-01T00:00:00"/>
        <d v="2025-02-02T00:00:00"/>
        <d v="2025-02-03T00:00:00"/>
        <d v="2025-02-05T00:00:00"/>
        <d v="2025-02-06T00:00:00"/>
        <d v="2025-02-07T00:00:00"/>
        <d v="2025-02-09T00:00:00"/>
        <d v="2025-02-10T00:00:00"/>
        <d v="2025-02-12T00:00:00"/>
        <d v="2025-02-13T00:00:00"/>
        <d v="2025-02-15T00:00:00"/>
        <d v="2025-02-18T00:00:00"/>
        <d v="2025-02-20T00:00:00"/>
        <d v="2025-02-22T00:00:00"/>
        <d v="2025-02-24T00:00:00"/>
        <d v="2025-02-25T00:00:00"/>
        <d v="2025-02-28T00:00:00"/>
      </sharedItems>
    </cacheField>
    <cacheField name="Item_Type" numFmtId="0">
      <sharedItems count="4">
        <s v="Bridal Dress"/>
        <s v="Party Dress"/>
        <s v="Mehndi Dress"/>
        <s v="Walima Dress"/>
      </sharedItems>
    </cacheField>
    <cacheField name="Customer_Type" numFmtId="0">
      <sharedItems/>
    </cacheField>
    <cacheField name="Cost_PKR" numFmtId="164">
      <sharedItems containsSemiMixedTypes="0" containsString="0" containsNumber="1" containsInteger="1" minValue="7000" maxValue="55000"/>
    </cacheField>
    <cacheField name="Price_PKR" numFmtId="164">
      <sharedItems containsSemiMixedTypes="0" containsString="0" containsNumber="1" containsInteger="1" minValue="11000" maxValue="100000"/>
    </cacheField>
    <cacheField name="Profit_PKR" numFmtId="164">
      <sharedItems containsSemiMixedTypes="0" containsString="0" containsNumber="1" containsInteger="1" minValue="3500" maxValue="46000"/>
    </cacheField>
    <cacheField name="Profit_Margin_Pct" numFmtId="10">
      <sharedItems containsSemiMixedTypes="0" containsString="0" containsNumber="1" minValue="0.30769999999999997" maxValue="0.4773"/>
    </cacheField>
    <cacheField name="Status" numFmtId="0">
      <sharedItems count="2">
        <s v="Delivered"/>
        <s v="Cancelled"/>
      </sharedItems>
    </cacheField>
    <cacheField name="Delivery_Date_Planned" numFmtId="14">
      <sharedItems containsSemiMixedTypes="0" containsNonDate="0" containsDate="1" containsString="0" minDate="2025-02-10T00:00:00" maxDate="2025-03-26T00:00:00"/>
    </cacheField>
    <cacheField name="Delivery_Date_Actual" numFmtId="14">
      <sharedItems containsDate="1" containsMixedTypes="1" minDate="2025-02-10T00:00:00" maxDate="2025-03-27T00:00:00"/>
    </cacheField>
    <cacheField name="Cancellation_Reason" numFmtId="0">
      <sharedItems count="4">
        <s v="N/A"/>
        <s v="Late Delivery"/>
        <s v="Material Unavailable"/>
        <s v="Customer Changed Mi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AZ-1001"/>
    <x v="0"/>
    <x v="0"/>
    <s v="New"/>
    <n v="45000"/>
    <n v="85000"/>
    <n v="40000"/>
    <n v="0.47060000000000002"/>
    <x v="0"/>
    <d v="2025-02-20T00:00:00"/>
    <d v="2025-02-19T00:00:00"/>
    <x v="0"/>
  </r>
  <r>
    <s v="AZ-1002"/>
    <x v="0"/>
    <x v="1"/>
    <s v="New"/>
    <n v="8000"/>
    <n v="12000"/>
    <n v="4000"/>
    <n v="0.33329999999999999"/>
    <x v="0"/>
    <d v="2025-02-10T00:00:00"/>
    <d v="2025-02-10T00:00:00"/>
    <x v="0"/>
  </r>
  <r>
    <s v="AZ-1003"/>
    <x v="1"/>
    <x v="1"/>
    <s v="Returning"/>
    <n v="8500"/>
    <n v="12500"/>
    <n v="4000"/>
    <n v="0.32"/>
    <x v="1"/>
    <d v="2025-02-12T00:00:00"/>
    <s v="N/A"/>
    <x v="1"/>
  </r>
  <r>
    <s v="AZ-1004"/>
    <x v="2"/>
    <x v="2"/>
    <s v="New"/>
    <n v="25000"/>
    <n v="45000"/>
    <n v="20000"/>
    <n v="0.44440000000000002"/>
    <x v="0"/>
    <d v="2025-02-24T00:00:00"/>
    <d v="2025-02-23T00:00:00"/>
    <x v="0"/>
  </r>
  <r>
    <s v="AZ-1005"/>
    <x v="2"/>
    <x v="1"/>
    <s v="New"/>
    <n v="7000"/>
    <n v="11000"/>
    <n v="4000"/>
    <n v="0.36359999999999998"/>
    <x v="1"/>
    <d v="2025-02-14T00:00:00"/>
    <s v="N/A"/>
    <x v="1"/>
  </r>
  <r>
    <s v="AZ-1006"/>
    <x v="2"/>
    <x v="3"/>
    <s v="New"/>
    <n v="50000"/>
    <n v="95000"/>
    <n v="45000"/>
    <n v="0.47370000000000001"/>
    <x v="0"/>
    <d v="2025-03-01T00:00:00"/>
    <d v="2025-03-02T00:00:00"/>
    <x v="0"/>
  </r>
  <r>
    <s v="AZ-1007"/>
    <x v="3"/>
    <x v="1"/>
    <s v="Returning"/>
    <n v="9000"/>
    <n v="13000"/>
    <n v="4000"/>
    <n v="0.30769999999999997"/>
    <x v="0"/>
    <d v="2025-02-15T00:00:00"/>
    <d v="2025-02-16T00:00:00"/>
    <x v="0"/>
  </r>
  <r>
    <s v="AZ-1008"/>
    <x v="3"/>
    <x v="1"/>
    <s v="New"/>
    <n v="8000"/>
    <n v="12000"/>
    <n v="4000"/>
    <n v="0.33329999999999999"/>
    <x v="1"/>
    <d v="2025-02-15T00:00:00"/>
    <s v="N/A"/>
    <x v="2"/>
  </r>
  <r>
    <s v="AZ-1009"/>
    <x v="4"/>
    <x v="0"/>
    <s v="New"/>
    <n v="48000"/>
    <n v="90000"/>
    <n v="42000"/>
    <n v="0.4667"/>
    <x v="0"/>
    <d v="2025-03-05T00:00:00"/>
    <d v="2025-03-04T00:00:00"/>
    <x v="0"/>
  </r>
  <r>
    <s v="AZ-1010"/>
    <x v="4"/>
    <x v="1"/>
    <s v="New"/>
    <n v="7500"/>
    <n v="11500"/>
    <n v="4000"/>
    <n v="0.3478"/>
    <x v="1"/>
    <d v="2025-02-18T00:00:00"/>
    <s v="N/A"/>
    <x v="1"/>
  </r>
  <r>
    <s v="AZ-1011"/>
    <x v="5"/>
    <x v="2"/>
    <s v="Returning"/>
    <n v="22000"/>
    <n v="40000"/>
    <n v="18000"/>
    <n v="0.45"/>
    <x v="0"/>
    <d v="2025-02-28T00:00:00"/>
    <d v="2025-02-27T00:00:00"/>
    <x v="0"/>
  </r>
  <r>
    <s v="AZ-1012"/>
    <x v="5"/>
    <x v="1"/>
    <s v="New"/>
    <n v="8200"/>
    <n v="12000"/>
    <n v="3800"/>
    <n v="0.31669999999999998"/>
    <x v="1"/>
    <d v="2025-02-20T00:00:00"/>
    <s v="N/A"/>
    <x v="1"/>
  </r>
  <r>
    <s v="AZ-1013"/>
    <x v="5"/>
    <x v="1"/>
    <s v="New"/>
    <n v="8000"/>
    <n v="12000"/>
    <n v="4000"/>
    <n v="0.33329999999999999"/>
    <x v="0"/>
    <d v="2025-02-17T00:00:00"/>
    <d v="2025-02-18T00:00:00"/>
    <x v="0"/>
  </r>
  <r>
    <s v="AZ-1014"/>
    <x v="6"/>
    <x v="3"/>
    <s v="New"/>
    <n v="52000"/>
    <n v="98000"/>
    <n v="46000"/>
    <n v="0.46939999999999998"/>
    <x v="0"/>
    <d v="2025-03-10T00:00:00"/>
    <d v="2025-03-11T00:00:00"/>
    <x v="0"/>
  </r>
  <r>
    <s v="AZ-1015"/>
    <x v="7"/>
    <x v="1"/>
    <s v="Returning"/>
    <n v="7800"/>
    <n v="11800"/>
    <n v="4000"/>
    <n v="0.33900000000000002"/>
    <x v="0"/>
    <d v="2025-02-22T00:00:00"/>
    <d v="2025-02-24T00:00:00"/>
    <x v="0"/>
  </r>
  <r>
    <s v="AZ-1016"/>
    <x v="7"/>
    <x v="1"/>
    <s v="New"/>
    <n v="8000"/>
    <n v="12000"/>
    <n v="4000"/>
    <n v="0.33329999999999999"/>
    <x v="1"/>
    <d v="2025-02-23T00:00:00"/>
    <s v="N/A"/>
    <x v="3"/>
  </r>
  <r>
    <s v="AZ-1017"/>
    <x v="8"/>
    <x v="0"/>
    <s v="Returning"/>
    <n v="46000"/>
    <n v="88000"/>
    <n v="42000"/>
    <n v="0.4773"/>
    <x v="0"/>
    <d v="2025-03-15T00:00:00"/>
    <d v="2025-03-14T00:00:00"/>
    <x v="0"/>
  </r>
  <r>
    <s v="AZ-1018"/>
    <x v="8"/>
    <x v="1"/>
    <s v="New"/>
    <n v="8500"/>
    <n v="12500"/>
    <n v="4000"/>
    <n v="0.32"/>
    <x v="1"/>
    <d v="2025-02-26T00:00:00"/>
    <s v="N/A"/>
    <x v="1"/>
  </r>
  <r>
    <s v="AZ-1019"/>
    <x v="8"/>
    <x v="2"/>
    <s v="Returning"/>
    <n v="24000"/>
    <n v="42000"/>
    <n v="18000"/>
    <n v="0.42859999999999998"/>
    <x v="0"/>
    <d v="2025-03-08T00:00:00"/>
    <d v="2025-03-09T00:00:00"/>
    <x v="0"/>
  </r>
  <r>
    <s v="AZ-1020"/>
    <x v="9"/>
    <x v="1"/>
    <s v="New"/>
    <n v="7500"/>
    <n v="11000"/>
    <n v="3500"/>
    <n v="0.31819999999999998"/>
    <x v="0"/>
    <d v="2025-02-28T00:00:00"/>
    <d v="2025-02-28T00:00:00"/>
    <x v="0"/>
  </r>
  <r>
    <s v="AZ-1021"/>
    <x v="9"/>
    <x v="1"/>
    <s v="New"/>
    <n v="8000"/>
    <n v="12000"/>
    <n v="4000"/>
    <n v="0.33329999999999999"/>
    <x v="1"/>
    <d v="2025-02-28T00:00:00"/>
    <s v="N/A"/>
    <x v="1"/>
  </r>
  <r>
    <s v="AZ-1022"/>
    <x v="10"/>
    <x v="3"/>
    <s v="Returning"/>
    <n v="55000"/>
    <n v="100000"/>
    <n v="45000"/>
    <n v="0.45"/>
    <x v="0"/>
    <d v="2025-03-20T00:00:00"/>
    <d v="2025-03-20T00:00:00"/>
    <x v="0"/>
  </r>
  <r>
    <s v="AZ-1023"/>
    <x v="10"/>
    <x v="1"/>
    <s v="New"/>
    <n v="7800"/>
    <n v="11800"/>
    <n v="4000"/>
    <n v="0.33900000000000002"/>
    <x v="1"/>
    <d v="2025-02-25T00:00:00"/>
    <s v="N/A"/>
    <x v="2"/>
  </r>
  <r>
    <s v="AZ-1024"/>
    <x v="11"/>
    <x v="1"/>
    <s v="New"/>
    <n v="8200"/>
    <n v="12200"/>
    <n v="4000"/>
    <n v="0.32790000000000002"/>
    <x v="0"/>
    <d v="2025-02-28T00:00:00"/>
    <d v="2025-03-01T00:00:00"/>
    <x v="0"/>
  </r>
  <r>
    <s v="AZ-1025"/>
    <x v="11"/>
    <x v="2"/>
    <s v="New"/>
    <n v="23000"/>
    <n v="41000"/>
    <n v="18000"/>
    <n v="0.439"/>
    <x v="0"/>
    <d v="2025-03-10T00:00:00"/>
    <d v="2025-03-10T00:00:00"/>
    <x v="0"/>
  </r>
  <r>
    <s v="AZ-1026"/>
    <x v="12"/>
    <x v="1"/>
    <s v="Returning"/>
    <n v="9000"/>
    <n v="13500"/>
    <n v="4500"/>
    <n v="0.33329999999999999"/>
    <x v="0"/>
    <d v="2025-03-02T00:00:00"/>
    <d v="2025-03-03T00:00:00"/>
    <x v="0"/>
  </r>
  <r>
    <s v="AZ-1027"/>
    <x v="12"/>
    <x v="0"/>
    <s v="New"/>
    <n v="50000"/>
    <n v="95000"/>
    <n v="45000"/>
    <n v="0.47370000000000001"/>
    <x v="0"/>
    <d v="2025-03-25T00:00:00"/>
    <d v="2025-03-24T00:00:00"/>
    <x v="0"/>
  </r>
  <r>
    <s v="AZ-1028"/>
    <x v="13"/>
    <x v="1"/>
    <s v="New"/>
    <n v="7500"/>
    <n v="11500"/>
    <n v="4000"/>
    <n v="0.3478"/>
    <x v="1"/>
    <d v="2025-03-05T00:00:00"/>
    <s v="N/A"/>
    <x v="1"/>
  </r>
  <r>
    <s v="AZ-1029"/>
    <x v="13"/>
    <x v="1"/>
    <s v="New"/>
    <n v="8000"/>
    <n v="12000"/>
    <n v="4000"/>
    <n v="0.33329999999999999"/>
    <x v="1"/>
    <d v="2025-03-05T00:00:00"/>
    <s v="N/A"/>
    <x v="1"/>
  </r>
  <r>
    <s v="AZ-1030"/>
    <x v="14"/>
    <x v="3"/>
    <s v="New"/>
    <n v="53000"/>
    <n v="99000"/>
    <n v="46000"/>
    <n v="0.46460000000000001"/>
    <x v="0"/>
    <d v="2025-03-25T00:00:00"/>
    <d v="2025-03-26T00:00:00"/>
    <x v="0"/>
  </r>
  <r>
    <s v="AZ-1031"/>
    <x v="15"/>
    <x v="1"/>
    <s v="Returning"/>
    <n v="8500"/>
    <n v="12500"/>
    <n v="4000"/>
    <n v="0.32"/>
    <x v="0"/>
    <d v="2025-03-08T00:00:00"/>
    <d v="2025-03-08T00:00:00"/>
    <x v="0"/>
  </r>
  <r>
    <s v="AZ-1032"/>
    <x v="15"/>
    <x v="2"/>
    <s v="New"/>
    <n v="26000"/>
    <n v="46000"/>
    <n v="20000"/>
    <n v="0.43480000000000002"/>
    <x v="0"/>
    <d v="2025-03-18T00:00:00"/>
    <d v="2025-03-18T00:00:00"/>
    <x v="0"/>
  </r>
  <r>
    <s v="AZ-1033"/>
    <x v="15"/>
    <x v="1"/>
    <s v="New"/>
    <n v="7000"/>
    <n v="11000"/>
    <n v="4000"/>
    <n v="0.36359999999999998"/>
    <x v="1"/>
    <d v="2025-03-05T00:00:00"/>
    <s v="N/A"/>
    <x v="2"/>
  </r>
  <r>
    <s v="AZ-1034"/>
    <x v="16"/>
    <x v="1"/>
    <s v="New"/>
    <n v="7800"/>
    <n v="11800"/>
    <n v="4000"/>
    <n v="0.33900000000000002"/>
    <x v="0"/>
    <d v="2025-03-10T00:00:00"/>
    <d v="2025-03-10T00:00:00"/>
    <x v="0"/>
  </r>
  <r>
    <s v="AZ-1035"/>
    <x v="16"/>
    <x v="1"/>
    <s v="New"/>
    <n v="8000"/>
    <n v="12000"/>
    <n v="4000"/>
    <n v="0.33329999999999999"/>
    <x v="1"/>
    <d v="2025-03-10T00:00:00"/>
    <s v="N/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43B1B-A836-4C19-B52B-DCCD0D15EC9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9" firstHeaderRow="1" firstDataRow="2" firstDataCol="1"/>
  <pivotFields count="12">
    <pivotField dataField="1" showAll="0"/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numFmtId="164" showAll="0"/>
    <pivotField numFmtId="164" showAll="0"/>
    <pivotField numFmtId="164" showAll="0"/>
    <pivotField numFmtId="10"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Order_ID" fld="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172FF-0F61-4DB0-AAE1-F8B31ADA0BA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ncellation Reason">
  <location ref="A3:B8" firstHeaderRow="1" firstDataRow="1" firstDataCol="1" rowPageCount="1" colPageCount="1"/>
  <pivotFields count="12">
    <pivotField dataField="1" showAll="0"/>
    <pivotField numFmtId="14" showAll="0"/>
    <pivotField showAll="0"/>
    <pivotField showAll="0"/>
    <pivotField numFmtId="164" showAll="0"/>
    <pivotField numFmtId="164" showAll="0"/>
    <pivotField numFmtId="164" showAll="0"/>
    <pivotField numFmtId="10" showAll="0"/>
    <pivotField axis="axisPage" showAll="0">
      <items count="3">
        <item x="1"/>
        <item x="0"/>
        <item t="default"/>
      </items>
    </pivotField>
    <pivotField numFmtId="14" showAll="0"/>
    <pivotField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Count of Order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D9183-D9E2-4F1E-A070-248832633D6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3:B18" firstHeaderRow="1" firstDataRow="1" firstDataCol="1" rowPageCount="1" colPageCount="1"/>
  <pivotFields count="12">
    <pivotField showAll="0"/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numFmtId="164" showAll="0"/>
    <pivotField numFmtId="164" showAll="0"/>
    <pivotField dataField="1" numFmtId="164" showAll="0"/>
    <pivotField numFmtId="10" showAll="0"/>
    <pivotField axis="axisPage" multipleItemSelectionAllowed="1" showAll="0">
      <items count="3">
        <item h="1" x="1"/>
        <item x="0"/>
        <item t="default"/>
      </items>
    </pivotField>
    <pivotField numFmtId="1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Sum of Profit_PKR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733DD-5E96-425B-A7DB-132FEB7CEEE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" firstHeaderRow="1" firstDataRow="1" firstDataCol="1" rowPageCount="1" colPageCount="1"/>
  <pivotFields count="12">
    <pivotField showAll="0"/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numFmtId="164" showAll="0"/>
    <pivotField numFmtId="164" showAll="0"/>
    <pivotField dataField="1" numFmtId="164" showAll="0"/>
    <pivotField numFmtId="10" showAll="0"/>
    <pivotField axis="axisPage" multipleItemSelectionAllowed="1" showAll="0">
      <items count="3">
        <item x="1"/>
        <item h="1" x="0"/>
        <item t="default"/>
      </items>
    </pivotField>
    <pivotField numFmtId="14"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8" hier="-1"/>
  </pageFields>
  <dataFields count="1">
    <dataField name="Sum of Profit_PKR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12876-D069-41C8-8546-84244831F2D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22" firstHeaderRow="1" firstDataRow="2" firstDataCol="1"/>
  <pivotFields count="12">
    <pivotField dataField="1" showAll="0"/>
    <pivotField axis="axisRow" numFmtId="14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0"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Order_ID" fld="0" subtotal="count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0633B-A329-486D-AA0B-506029C9B0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numFmtId="164" showAll="0"/>
    <pivotField numFmtId="164" showAll="0"/>
    <pivotField dataField="1" numFmtId="164" showAll="0"/>
    <pivotField numFmtId="10" showAll="0"/>
    <pivotField showAll="0"/>
    <pivotField numFmtId="1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PKR" fld="6" showDataAs="percentOfCol" baseField="0" baseItem="0" numFmtId="1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520DE-A8A7-41F8-9553-161B040807E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numFmtId="164" showAll="0"/>
    <pivotField numFmtId="164" showAll="0"/>
    <pivotField numFmtId="164" showAll="0"/>
    <pivotField dataField="1" numFmtId="10" showAll="0"/>
    <pivotField showAll="0"/>
    <pivotField numFmtId="1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_Pct" fld="7" subtotal="average" baseField="2" baseItem="0" numFmtId="9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10EE5-EB26-4A83-9AB3-50A6C14DB0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numFmtId="14"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numFmtId="164" showAll="0"/>
    <pivotField numFmtId="164" showAll="0"/>
    <pivotField numFmtId="164" showAll="0"/>
    <pivotField numFmtId="10" showAll="0"/>
    <pivotField showAll="0"/>
    <pivotField numFmtId="1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tem_Type" fld="2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69C36B-3FB3-48C8-9C81-9E3BDA8F487E}" name="Table1" displayName="Table1" ref="A1:B8" totalsRowShown="0">
  <autoFilter ref="A1:B8" xr:uid="{3D69C36B-3FB3-48C8-9C81-9E3BDA8F487E}"/>
  <tableColumns count="2">
    <tableColumn id="3" xr3:uid="{3A5615DD-CCE7-4A2D-933D-D4A5D85AC251}" name="Interviewer_Question"/>
    <tableColumn id="4" xr3:uid="{94F3BCA2-9925-485F-9CB6-BEC81B0A19FD}" name="Entrepreneur_Respon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7727F2-985E-464B-B4DC-56B8A7F1A96F}" name="Table3" displayName="Table3" ref="A1:L36" totalsRowShown="0">
  <autoFilter ref="A1:L36" xr:uid="{295E6400-3CC2-425B-8811-6B8065BDD765}"/>
  <tableColumns count="12">
    <tableColumn id="1" xr3:uid="{253E8557-FBE1-4D3F-A39A-F8B13B19B2DA}" name="Order_ID"/>
    <tableColumn id="2" xr3:uid="{71DFFBFD-D374-4E94-B9A8-C5762F1A4A82}" name="Order_Date" dataDxfId="8"/>
    <tableColumn id="3" xr3:uid="{013B3AED-DF07-4D64-AC3E-57897CBFD2DC}" name="Item_Type"/>
    <tableColumn id="4" xr3:uid="{AC128CAC-C917-4F97-BC34-9EB4E33F7105}" name="Customer_Type"/>
    <tableColumn id="5" xr3:uid="{A66CAE36-0284-4E7F-8C51-6FF1C110DC5F}" name="Cost_PKR" dataDxfId="7"/>
    <tableColumn id="6" xr3:uid="{9997125A-4703-4E95-93B8-3B889AFF3A95}" name="Price_PKR" dataDxfId="6"/>
    <tableColumn id="7" xr3:uid="{4199E997-42A5-44FC-9B89-4AC8C02EA8CD}" name="Profit_PKR" dataDxfId="5"/>
    <tableColumn id="8" xr3:uid="{AB2F79D8-A438-4EA9-8468-D1ACBA210896}" name="Profit_Margin_Pct" dataDxfId="4"/>
    <tableColumn id="9" xr3:uid="{877013A0-13CD-45A7-B765-52FA99A5C18D}" name="Status"/>
    <tableColumn id="10" xr3:uid="{EB924AF6-7C31-40D2-9F93-75EDE1DDB654}" name="Delivery_Date_Planned" dataDxfId="3"/>
    <tableColumn id="11" xr3:uid="{0F84A07A-1052-4586-8DB3-F9DE2F43C6DF}" name="Delivery_Date_Actual" dataDxfId="2"/>
    <tableColumn id="12" xr3:uid="{35A94F2C-E5BC-4832-91B2-7F6367342A86}" name="Cancellation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412DB2-E876-4754-8E85-A08093FD7318}" name="Table14" displayName="Table14" ref="A1:G8" totalsRowShown="0">
  <autoFilter ref="A1:G8" xr:uid="{D8412DB2-E876-4754-8E85-A08093FD7318}"/>
  <tableColumns count="7">
    <tableColumn id="2" xr3:uid="{E10A3A07-AA46-4D32-89FE-524D3AD424C1}" name="Material_Name"/>
    <tableColumn id="3" xr3:uid="{4FCB4CD6-2446-44EC-99B0-7C8A8075EB7F}" name="Unit"/>
    <tableColumn id="4" xr3:uid="{7FB338F1-10B1-4D41-AB65-66E4752A563D}" name="Opening_Stock_Feb1"/>
    <tableColumn id="5" xr3:uid="{289ED26A-A92C-4CA6-BE2A-3A01D4D76B5E}" name="Used_in_Feb"/>
    <tableColumn id="6" xr3:uid="{2B4C6A9C-4CBB-4DD7-895F-55CA3884DD85}" name="Remaining_Stock_Feb28"/>
    <tableColumn id="7" xr3:uid="{41F84281-1BA3-4598-827A-575A3F2F182B}" name="Cost_Per_Unit_PKR"/>
    <tableColumn id="8" xr3:uid="{B546CBF7-8B15-4D11-8C58-BFA526D1A8B1}" name="Status_Ale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45B7-9816-45CB-B7E8-DE41F04B9F76}">
  <dimension ref="A1:E8"/>
  <sheetViews>
    <sheetView tabSelected="1" workbookViewId="0">
      <selection activeCell="A17" sqref="A17"/>
    </sheetView>
  </sheetViews>
  <sheetFormatPr defaultRowHeight="14.4" x14ac:dyDescent="0.3"/>
  <cols>
    <col min="1" max="1" width="56.88671875" customWidth="1"/>
    <col min="2" max="2" width="147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3">
      <c r="A3" t="s">
        <v>7</v>
      </c>
      <c r="B3" t="s">
        <v>8</v>
      </c>
    </row>
    <row r="4" spans="1:5" x14ac:dyDescent="0.3">
      <c r="A4" t="s">
        <v>9</v>
      </c>
      <c r="B4" t="s">
        <v>10</v>
      </c>
    </row>
    <row r="5" spans="1:5" x14ac:dyDescent="0.3">
      <c r="A5" t="s">
        <v>11</v>
      </c>
      <c r="B5" t="s">
        <v>12</v>
      </c>
    </row>
    <row r="6" spans="1:5" x14ac:dyDescent="0.3">
      <c r="A6" t="s">
        <v>13</v>
      </c>
      <c r="B6" t="s">
        <v>14</v>
      </c>
    </row>
    <row r="7" spans="1:5" x14ac:dyDescent="0.3">
      <c r="A7" t="s">
        <v>15</v>
      </c>
      <c r="B7" t="s">
        <v>16</v>
      </c>
    </row>
    <row r="8" spans="1:5" x14ac:dyDescent="0.3">
      <c r="A8" t="s">
        <v>17</v>
      </c>
      <c r="B8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55DD-0159-4086-B8E8-4B44443BF4B7}">
  <dimension ref="A1:L36"/>
  <sheetViews>
    <sheetView topLeftCell="D1" workbookViewId="0">
      <selection activeCell="N9" sqref="N9"/>
    </sheetView>
  </sheetViews>
  <sheetFormatPr defaultRowHeight="14.4" x14ac:dyDescent="0.3"/>
  <cols>
    <col min="1" max="1" width="15.88671875" customWidth="1"/>
    <col min="2" max="2" width="15.5546875" customWidth="1"/>
    <col min="3" max="3" width="19.21875" customWidth="1"/>
    <col min="4" max="4" width="17.109375" customWidth="1"/>
    <col min="5" max="5" width="14" style="1" customWidth="1"/>
    <col min="6" max="6" width="13.5546875" style="1" customWidth="1"/>
    <col min="7" max="7" width="16.33203125" style="1" customWidth="1"/>
    <col min="8" max="8" width="13.77734375" customWidth="1"/>
    <col min="9" max="9" width="12.21875" customWidth="1"/>
    <col min="10" max="10" width="22.33203125" customWidth="1"/>
    <col min="11" max="11" width="21.21875" customWidth="1"/>
    <col min="12" max="12" width="20.5546875" customWidth="1"/>
  </cols>
  <sheetData>
    <row r="1" spans="1:12" x14ac:dyDescent="0.3">
      <c r="A1" t="s">
        <v>19</v>
      </c>
      <c r="B1" t="s">
        <v>20</v>
      </c>
      <c r="C1" t="s">
        <v>21</v>
      </c>
      <c r="D1" t="s">
        <v>22</v>
      </c>
      <c r="E1" s="1" t="s">
        <v>23</v>
      </c>
      <c r="F1" s="1" t="s">
        <v>24</v>
      </c>
      <c r="G1" s="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3">
      <c r="A2" t="s">
        <v>31</v>
      </c>
      <c r="B2" s="2">
        <v>45689</v>
      </c>
      <c r="C2" t="s">
        <v>32</v>
      </c>
      <c r="D2" t="s">
        <v>33</v>
      </c>
      <c r="E2" s="1">
        <v>45000</v>
      </c>
      <c r="F2" s="1">
        <v>85000</v>
      </c>
      <c r="G2" s="1">
        <v>40000</v>
      </c>
      <c r="H2" s="3">
        <v>0.47060000000000002</v>
      </c>
      <c r="I2" t="s">
        <v>34</v>
      </c>
      <c r="J2" s="2">
        <v>45708</v>
      </c>
      <c r="K2" s="2">
        <v>45707</v>
      </c>
      <c r="L2" t="s">
        <v>35</v>
      </c>
    </row>
    <row r="3" spans="1:12" x14ac:dyDescent="0.3">
      <c r="A3" t="s">
        <v>36</v>
      </c>
      <c r="B3" s="2">
        <v>45689</v>
      </c>
      <c r="C3" t="s">
        <v>37</v>
      </c>
      <c r="D3" t="s">
        <v>33</v>
      </c>
      <c r="E3" s="1">
        <v>8000</v>
      </c>
      <c r="F3" s="1">
        <v>12000</v>
      </c>
      <c r="G3" s="1">
        <v>4000</v>
      </c>
      <c r="H3" s="3">
        <v>0.33329999999999999</v>
      </c>
      <c r="I3" t="s">
        <v>34</v>
      </c>
      <c r="J3" s="2">
        <v>45698</v>
      </c>
      <c r="K3" s="2">
        <v>45698</v>
      </c>
      <c r="L3" t="s">
        <v>35</v>
      </c>
    </row>
    <row r="4" spans="1:12" x14ac:dyDescent="0.3">
      <c r="A4" t="s">
        <v>38</v>
      </c>
      <c r="B4" s="2">
        <v>45690</v>
      </c>
      <c r="C4" t="s">
        <v>37</v>
      </c>
      <c r="D4" t="s">
        <v>39</v>
      </c>
      <c r="E4" s="1">
        <v>8500</v>
      </c>
      <c r="F4" s="1">
        <v>12500</v>
      </c>
      <c r="G4" s="1">
        <v>4000</v>
      </c>
      <c r="H4" s="3">
        <v>0.32</v>
      </c>
      <c r="I4" t="s">
        <v>40</v>
      </c>
      <c r="J4" s="2">
        <v>45700</v>
      </c>
      <c r="K4" s="2" t="s">
        <v>35</v>
      </c>
      <c r="L4" t="s">
        <v>41</v>
      </c>
    </row>
    <row r="5" spans="1:12" x14ac:dyDescent="0.3">
      <c r="A5" t="s">
        <v>42</v>
      </c>
      <c r="B5" s="2">
        <v>45691</v>
      </c>
      <c r="C5" t="s">
        <v>43</v>
      </c>
      <c r="D5" t="s">
        <v>33</v>
      </c>
      <c r="E5" s="1">
        <v>25000</v>
      </c>
      <c r="F5" s="1">
        <v>45000</v>
      </c>
      <c r="G5" s="1">
        <v>20000</v>
      </c>
      <c r="H5" s="3">
        <v>0.44440000000000002</v>
      </c>
      <c r="I5" t="s">
        <v>34</v>
      </c>
      <c r="J5" s="2">
        <v>45712</v>
      </c>
      <c r="K5" s="2">
        <v>45711</v>
      </c>
      <c r="L5" t="s">
        <v>35</v>
      </c>
    </row>
    <row r="6" spans="1:12" x14ac:dyDescent="0.3">
      <c r="A6" t="s">
        <v>44</v>
      </c>
      <c r="B6" s="2">
        <v>45691</v>
      </c>
      <c r="C6" t="s">
        <v>37</v>
      </c>
      <c r="D6" t="s">
        <v>33</v>
      </c>
      <c r="E6" s="1">
        <v>7000</v>
      </c>
      <c r="F6" s="1">
        <v>11000</v>
      </c>
      <c r="G6" s="1">
        <v>4000</v>
      </c>
      <c r="H6" s="3">
        <v>0.36359999999999998</v>
      </c>
      <c r="I6" t="s">
        <v>40</v>
      </c>
      <c r="J6" s="2">
        <v>45702</v>
      </c>
      <c r="K6" s="2" t="s">
        <v>35</v>
      </c>
      <c r="L6" t="s">
        <v>41</v>
      </c>
    </row>
    <row r="7" spans="1:12" x14ac:dyDescent="0.3">
      <c r="A7" t="s">
        <v>45</v>
      </c>
      <c r="B7" s="2">
        <v>45691</v>
      </c>
      <c r="C7" t="s">
        <v>46</v>
      </c>
      <c r="D7" t="s">
        <v>33</v>
      </c>
      <c r="E7" s="1">
        <v>50000</v>
      </c>
      <c r="F7" s="1">
        <v>95000</v>
      </c>
      <c r="G7" s="1">
        <v>45000</v>
      </c>
      <c r="H7" s="3">
        <v>0.47370000000000001</v>
      </c>
      <c r="I7" t="s">
        <v>34</v>
      </c>
      <c r="J7" s="2">
        <v>45717</v>
      </c>
      <c r="K7" s="2">
        <v>45718</v>
      </c>
      <c r="L7" t="s">
        <v>35</v>
      </c>
    </row>
    <row r="8" spans="1:12" x14ac:dyDescent="0.3">
      <c r="A8" t="s">
        <v>47</v>
      </c>
      <c r="B8" s="2">
        <v>45693</v>
      </c>
      <c r="C8" t="s">
        <v>37</v>
      </c>
      <c r="D8" t="s">
        <v>39</v>
      </c>
      <c r="E8" s="1">
        <v>9000</v>
      </c>
      <c r="F8" s="1">
        <v>13000</v>
      </c>
      <c r="G8" s="1">
        <v>4000</v>
      </c>
      <c r="H8" s="3">
        <v>0.30769999999999997</v>
      </c>
      <c r="I8" t="s">
        <v>34</v>
      </c>
      <c r="J8" s="2">
        <v>45703</v>
      </c>
      <c r="K8" s="2">
        <v>45704</v>
      </c>
      <c r="L8" t="s">
        <v>35</v>
      </c>
    </row>
    <row r="9" spans="1:12" x14ac:dyDescent="0.3">
      <c r="A9" t="s">
        <v>48</v>
      </c>
      <c r="B9" s="2">
        <v>45693</v>
      </c>
      <c r="C9" t="s">
        <v>37</v>
      </c>
      <c r="D9" t="s">
        <v>33</v>
      </c>
      <c r="E9" s="1">
        <v>8000</v>
      </c>
      <c r="F9" s="1">
        <v>12000</v>
      </c>
      <c r="G9" s="1">
        <v>4000</v>
      </c>
      <c r="H9" s="3">
        <v>0.33329999999999999</v>
      </c>
      <c r="I9" t="s">
        <v>40</v>
      </c>
      <c r="J9" s="2">
        <v>45703</v>
      </c>
      <c r="K9" s="2" t="s">
        <v>35</v>
      </c>
      <c r="L9" t="s">
        <v>50</v>
      </c>
    </row>
    <row r="10" spans="1:12" x14ac:dyDescent="0.3">
      <c r="A10" t="s">
        <v>49</v>
      </c>
      <c r="B10" s="2">
        <v>45694</v>
      </c>
      <c r="C10" t="s">
        <v>32</v>
      </c>
      <c r="D10" t="s">
        <v>33</v>
      </c>
      <c r="E10" s="1">
        <v>48000</v>
      </c>
      <c r="F10" s="1">
        <v>90000</v>
      </c>
      <c r="G10" s="1">
        <v>42000</v>
      </c>
      <c r="H10" s="3">
        <v>0.4667</v>
      </c>
      <c r="I10" t="s">
        <v>34</v>
      </c>
      <c r="J10" s="2">
        <v>45721</v>
      </c>
      <c r="K10" s="2">
        <v>45720</v>
      </c>
      <c r="L10" t="s">
        <v>35</v>
      </c>
    </row>
    <row r="11" spans="1:12" x14ac:dyDescent="0.3">
      <c r="A11" t="s">
        <v>51</v>
      </c>
      <c r="B11" s="2">
        <v>45694</v>
      </c>
      <c r="C11" t="s">
        <v>37</v>
      </c>
      <c r="D11" t="s">
        <v>33</v>
      </c>
      <c r="E11" s="1">
        <v>7500</v>
      </c>
      <c r="F11" s="1">
        <v>11500</v>
      </c>
      <c r="G11" s="1">
        <v>4000</v>
      </c>
      <c r="H11" s="3">
        <v>0.3478</v>
      </c>
      <c r="I11" t="s">
        <v>40</v>
      </c>
      <c r="J11" s="2">
        <v>45706</v>
      </c>
      <c r="K11" s="2" t="s">
        <v>35</v>
      </c>
      <c r="L11" t="s">
        <v>41</v>
      </c>
    </row>
    <row r="12" spans="1:12" x14ac:dyDescent="0.3">
      <c r="A12" t="s">
        <v>52</v>
      </c>
      <c r="B12" s="2">
        <v>45695</v>
      </c>
      <c r="C12" t="s">
        <v>43</v>
      </c>
      <c r="D12" t="s">
        <v>39</v>
      </c>
      <c r="E12" s="1">
        <v>22000</v>
      </c>
      <c r="F12" s="1">
        <v>40000</v>
      </c>
      <c r="G12" s="1">
        <v>18000</v>
      </c>
      <c r="H12" s="3">
        <v>0.45</v>
      </c>
      <c r="I12" t="s">
        <v>34</v>
      </c>
      <c r="J12" s="2">
        <v>45716</v>
      </c>
      <c r="K12" s="2">
        <v>45715</v>
      </c>
      <c r="L12" t="s">
        <v>35</v>
      </c>
    </row>
    <row r="13" spans="1:12" x14ac:dyDescent="0.3">
      <c r="A13" t="s">
        <v>53</v>
      </c>
      <c r="B13" s="2">
        <v>45695</v>
      </c>
      <c r="C13" t="s">
        <v>37</v>
      </c>
      <c r="D13" t="s">
        <v>33</v>
      </c>
      <c r="E13" s="1">
        <v>8200</v>
      </c>
      <c r="F13" s="1">
        <v>12000</v>
      </c>
      <c r="G13" s="1">
        <v>3800</v>
      </c>
      <c r="H13" s="3">
        <v>0.31669999999999998</v>
      </c>
      <c r="I13" t="s">
        <v>40</v>
      </c>
      <c r="J13" s="2">
        <v>45708</v>
      </c>
      <c r="K13" s="2" t="s">
        <v>35</v>
      </c>
      <c r="L13" t="s">
        <v>41</v>
      </c>
    </row>
    <row r="14" spans="1:12" x14ac:dyDescent="0.3">
      <c r="A14" t="s">
        <v>54</v>
      </c>
      <c r="B14" s="2">
        <v>45695</v>
      </c>
      <c r="C14" t="s">
        <v>37</v>
      </c>
      <c r="D14" t="s">
        <v>33</v>
      </c>
      <c r="E14" s="1">
        <v>8000</v>
      </c>
      <c r="F14" s="1">
        <v>12000</v>
      </c>
      <c r="G14" s="1">
        <v>4000</v>
      </c>
      <c r="H14" s="3">
        <v>0.33329999999999999</v>
      </c>
      <c r="I14" t="s">
        <v>34</v>
      </c>
      <c r="J14" s="2">
        <v>45705</v>
      </c>
      <c r="K14" s="2">
        <v>45706</v>
      </c>
      <c r="L14" t="s">
        <v>35</v>
      </c>
    </row>
    <row r="15" spans="1:12" x14ac:dyDescent="0.3">
      <c r="A15" t="s">
        <v>55</v>
      </c>
      <c r="B15" s="2">
        <v>45697</v>
      </c>
      <c r="C15" t="s">
        <v>46</v>
      </c>
      <c r="D15" t="s">
        <v>33</v>
      </c>
      <c r="E15" s="1">
        <v>52000</v>
      </c>
      <c r="F15" s="1">
        <v>98000</v>
      </c>
      <c r="G15" s="1">
        <v>46000</v>
      </c>
      <c r="H15" s="3">
        <v>0.46939999999999998</v>
      </c>
      <c r="I15" t="s">
        <v>34</v>
      </c>
      <c r="J15" s="2">
        <v>45726</v>
      </c>
      <c r="K15" s="2">
        <v>45727</v>
      </c>
      <c r="L15" t="s">
        <v>35</v>
      </c>
    </row>
    <row r="16" spans="1:12" x14ac:dyDescent="0.3">
      <c r="A16" t="s">
        <v>57</v>
      </c>
      <c r="B16" s="2">
        <v>45698</v>
      </c>
      <c r="C16" t="s">
        <v>37</v>
      </c>
      <c r="D16" t="s">
        <v>39</v>
      </c>
      <c r="E16" s="1">
        <v>7800</v>
      </c>
      <c r="F16" s="1">
        <v>11800</v>
      </c>
      <c r="G16" s="1">
        <v>4000</v>
      </c>
      <c r="H16" s="3">
        <v>0.33900000000000002</v>
      </c>
      <c r="I16" t="s">
        <v>34</v>
      </c>
      <c r="J16" s="2">
        <v>45710</v>
      </c>
      <c r="K16" s="2">
        <v>45712</v>
      </c>
      <c r="L16" t="s">
        <v>35</v>
      </c>
    </row>
    <row r="17" spans="1:12" x14ac:dyDescent="0.3">
      <c r="A17" t="s">
        <v>58</v>
      </c>
      <c r="B17" s="2">
        <v>45698</v>
      </c>
      <c r="C17" t="s">
        <v>37</v>
      </c>
      <c r="D17" t="s">
        <v>33</v>
      </c>
      <c r="E17" s="1">
        <v>8000</v>
      </c>
      <c r="F17" s="1">
        <v>12000</v>
      </c>
      <c r="G17" s="1">
        <v>4000</v>
      </c>
      <c r="H17" s="3">
        <v>0.33329999999999999</v>
      </c>
      <c r="I17" t="s">
        <v>40</v>
      </c>
      <c r="J17" s="2">
        <v>45711</v>
      </c>
      <c r="K17" s="2" t="s">
        <v>35</v>
      </c>
      <c r="L17" t="s">
        <v>56</v>
      </c>
    </row>
    <row r="18" spans="1:12" x14ac:dyDescent="0.3">
      <c r="A18" t="s">
        <v>59</v>
      </c>
      <c r="B18" s="2">
        <v>45700</v>
      </c>
      <c r="C18" t="s">
        <v>32</v>
      </c>
      <c r="D18" t="s">
        <v>39</v>
      </c>
      <c r="E18" s="1">
        <v>46000</v>
      </c>
      <c r="F18" s="1">
        <v>88000</v>
      </c>
      <c r="G18" s="1">
        <v>42000</v>
      </c>
      <c r="H18" s="3">
        <v>0.4773</v>
      </c>
      <c r="I18" t="s">
        <v>34</v>
      </c>
      <c r="J18" s="2">
        <v>45731</v>
      </c>
      <c r="K18" s="2">
        <v>45730</v>
      </c>
      <c r="L18" t="s">
        <v>35</v>
      </c>
    </row>
    <row r="19" spans="1:12" x14ac:dyDescent="0.3">
      <c r="A19" t="s">
        <v>60</v>
      </c>
      <c r="B19" s="2">
        <v>45700</v>
      </c>
      <c r="C19" t="s">
        <v>37</v>
      </c>
      <c r="D19" t="s">
        <v>33</v>
      </c>
      <c r="E19" s="1">
        <v>8500</v>
      </c>
      <c r="F19" s="1">
        <v>12500</v>
      </c>
      <c r="G19" s="1">
        <v>4000</v>
      </c>
      <c r="H19" s="3">
        <v>0.32</v>
      </c>
      <c r="I19" t="s">
        <v>40</v>
      </c>
      <c r="J19" s="2">
        <v>45714</v>
      </c>
      <c r="K19" s="2" t="s">
        <v>35</v>
      </c>
      <c r="L19" t="s">
        <v>41</v>
      </c>
    </row>
    <row r="20" spans="1:12" x14ac:dyDescent="0.3">
      <c r="A20" t="s">
        <v>61</v>
      </c>
      <c r="B20" s="2">
        <v>45700</v>
      </c>
      <c r="C20" t="s">
        <v>43</v>
      </c>
      <c r="D20" t="s">
        <v>39</v>
      </c>
      <c r="E20" s="1">
        <v>24000</v>
      </c>
      <c r="F20" s="1">
        <v>42000</v>
      </c>
      <c r="G20" s="1">
        <v>18000</v>
      </c>
      <c r="H20" s="3">
        <v>0.42859999999999998</v>
      </c>
      <c r="I20" t="s">
        <v>34</v>
      </c>
      <c r="J20" s="2">
        <v>45724</v>
      </c>
      <c r="K20" s="2">
        <v>45725</v>
      </c>
      <c r="L20" t="s">
        <v>35</v>
      </c>
    </row>
    <row r="21" spans="1:12" x14ac:dyDescent="0.3">
      <c r="A21" t="s">
        <v>62</v>
      </c>
      <c r="B21" s="2">
        <v>45701</v>
      </c>
      <c r="C21" t="s">
        <v>37</v>
      </c>
      <c r="D21" t="s">
        <v>33</v>
      </c>
      <c r="E21" s="1">
        <v>7500</v>
      </c>
      <c r="F21" s="1">
        <v>11000</v>
      </c>
      <c r="G21" s="1">
        <v>3500</v>
      </c>
      <c r="H21" s="3">
        <v>0.31819999999999998</v>
      </c>
      <c r="I21" t="s">
        <v>34</v>
      </c>
      <c r="J21" s="2">
        <v>45716</v>
      </c>
      <c r="K21" s="2">
        <v>45716</v>
      </c>
      <c r="L21" t="s">
        <v>35</v>
      </c>
    </row>
    <row r="22" spans="1:12" x14ac:dyDescent="0.3">
      <c r="A22" t="s">
        <v>103</v>
      </c>
      <c r="B22" s="2">
        <v>45701</v>
      </c>
      <c r="C22" t="s">
        <v>37</v>
      </c>
      <c r="D22" t="s">
        <v>33</v>
      </c>
      <c r="E22" s="1">
        <v>8000</v>
      </c>
      <c r="F22" s="1">
        <v>12000</v>
      </c>
      <c r="G22" s="1">
        <v>4000</v>
      </c>
      <c r="H22" s="3">
        <v>0.33329999999999999</v>
      </c>
      <c r="I22" t="s">
        <v>40</v>
      </c>
      <c r="J22" s="2">
        <v>45716</v>
      </c>
      <c r="K22" s="2" t="s">
        <v>35</v>
      </c>
      <c r="L22" t="s">
        <v>41</v>
      </c>
    </row>
    <row r="23" spans="1:12" x14ac:dyDescent="0.3">
      <c r="A23" t="s">
        <v>102</v>
      </c>
      <c r="B23" s="2">
        <v>45703</v>
      </c>
      <c r="C23" t="s">
        <v>46</v>
      </c>
      <c r="D23" t="s">
        <v>39</v>
      </c>
      <c r="E23" s="1">
        <v>55000</v>
      </c>
      <c r="F23" s="1">
        <v>100000</v>
      </c>
      <c r="G23" s="1">
        <v>45000</v>
      </c>
      <c r="H23" s="3">
        <v>0.45</v>
      </c>
      <c r="I23" t="s">
        <v>34</v>
      </c>
      <c r="J23" s="2">
        <v>45736</v>
      </c>
      <c r="K23" s="2">
        <v>45736</v>
      </c>
      <c r="L23" t="s">
        <v>35</v>
      </c>
    </row>
    <row r="24" spans="1:12" x14ac:dyDescent="0.3">
      <c r="A24" t="s">
        <v>101</v>
      </c>
      <c r="B24" s="2">
        <v>45703</v>
      </c>
      <c r="C24" t="s">
        <v>37</v>
      </c>
      <c r="D24" t="s">
        <v>33</v>
      </c>
      <c r="E24" s="1">
        <v>7800</v>
      </c>
      <c r="F24" s="1">
        <v>11800</v>
      </c>
      <c r="G24" s="1">
        <v>4000</v>
      </c>
      <c r="H24" s="3">
        <v>0.33900000000000002</v>
      </c>
      <c r="I24" t="s">
        <v>40</v>
      </c>
      <c r="J24" s="2">
        <v>45713</v>
      </c>
      <c r="K24" s="2" t="s">
        <v>35</v>
      </c>
      <c r="L24" t="s">
        <v>50</v>
      </c>
    </row>
    <row r="25" spans="1:12" x14ac:dyDescent="0.3">
      <c r="A25" t="s">
        <v>100</v>
      </c>
      <c r="B25" s="2">
        <v>45706</v>
      </c>
      <c r="C25" t="s">
        <v>37</v>
      </c>
      <c r="D25" t="s">
        <v>33</v>
      </c>
      <c r="E25" s="1">
        <v>8200</v>
      </c>
      <c r="F25" s="1">
        <v>12200</v>
      </c>
      <c r="G25" s="1">
        <v>4000</v>
      </c>
      <c r="H25" s="3">
        <v>0.32790000000000002</v>
      </c>
      <c r="I25" t="s">
        <v>34</v>
      </c>
      <c r="J25" s="2">
        <v>45716</v>
      </c>
      <c r="K25" s="2">
        <v>45717</v>
      </c>
      <c r="L25" t="s">
        <v>35</v>
      </c>
    </row>
    <row r="26" spans="1:12" x14ac:dyDescent="0.3">
      <c r="A26" t="s">
        <v>99</v>
      </c>
      <c r="B26" s="2">
        <v>45706</v>
      </c>
      <c r="C26" t="s">
        <v>43</v>
      </c>
      <c r="D26" t="s">
        <v>33</v>
      </c>
      <c r="E26" s="1">
        <v>23000</v>
      </c>
      <c r="F26" s="1">
        <v>41000</v>
      </c>
      <c r="G26" s="1">
        <v>18000</v>
      </c>
      <c r="H26" s="3">
        <v>0.439</v>
      </c>
      <c r="I26" t="s">
        <v>34</v>
      </c>
      <c r="J26" s="2">
        <v>45726</v>
      </c>
      <c r="K26" s="2">
        <v>45726</v>
      </c>
      <c r="L26" t="s">
        <v>35</v>
      </c>
    </row>
    <row r="27" spans="1:12" x14ac:dyDescent="0.3">
      <c r="A27" t="s">
        <v>98</v>
      </c>
      <c r="B27" s="2">
        <v>45708</v>
      </c>
      <c r="C27" t="s">
        <v>37</v>
      </c>
      <c r="D27" t="s">
        <v>39</v>
      </c>
      <c r="E27" s="1">
        <v>9000</v>
      </c>
      <c r="F27" s="1">
        <v>13500</v>
      </c>
      <c r="G27" s="1">
        <v>4500</v>
      </c>
      <c r="H27" s="3">
        <v>0.33329999999999999</v>
      </c>
      <c r="I27" t="s">
        <v>34</v>
      </c>
      <c r="J27" s="2">
        <v>45718</v>
      </c>
      <c r="K27" s="2">
        <v>45719</v>
      </c>
      <c r="L27" t="s">
        <v>35</v>
      </c>
    </row>
    <row r="28" spans="1:12" x14ac:dyDescent="0.3">
      <c r="A28" t="s">
        <v>97</v>
      </c>
      <c r="B28" s="2">
        <v>45708</v>
      </c>
      <c r="C28" t="s">
        <v>32</v>
      </c>
      <c r="D28" t="s">
        <v>33</v>
      </c>
      <c r="E28" s="1">
        <v>50000</v>
      </c>
      <c r="F28" s="1">
        <v>95000</v>
      </c>
      <c r="G28" s="1">
        <v>45000</v>
      </c>
      <c r="H28" s="3">
        <v>0.47370000000000001</v>
      </c>
      <c r="I28" t="s">
        <v>34</v>
      </c>
      <c r="J28" s="2">
        <v>45741</v>
      </c>
      <c r="K28" s="2">
        <v>45740</v>
      </c>
      <c r="L28" t="s">
        <v>35</v>
      </c>
    </row>
    <row r="29" spans="1:12" x14ac:dyDescent="0.3">
      <c r="A29" t="s">
        <v>96</v>
      </c>
      <c r="B29" s="2">
        <v>45710</v>
      </c>
      <c r="C29" t="s">
        <v>37</v>
      </c>
      <c r="D29" t="s">
        <v>33</v>
      </c>
      <c r="E29" s="1">
        <v>7500</v>
      </c>
      <c r="F29" s="1">
        <v>11500</v>
      </c>
      <c r="G29" s="1">
        <v>4000</v>
      </c>
      <c r="H29" s="3">
        <v>0.3478</v>
      </c>
      <c r="I29" t="s">
        <v>40</v>
      </c>
      <c r="J29" s="2">
        <v>45721</v>
      </c>
      <c r="K29" s="2" t="s">
        <v>35</v>
      </c>
      <c r="L29" t="s">
        <v>41</v>
      </c>
    </row>
    <row r="30" spans="1:12" x14ac:dyDescent="0.3">
      <c r="A30" t="s">
        <v>95</v>
      </c>
      <c r="B30" s="2">
        <v>45710</v>
      </c>
      <c r="C30" t="s">
        <v>37</v>
      </c>
      <c r="D30" t="s">
        <v>33</v>
      </c>
      <c r="E30" s="1">
        <v>8000</v>
      </c>
      <c r="F30" s="1">
        <v>12000</v>
      </c>
      <c r="G30" s="1">
        <v>4000</v>
      </c>
      <c r="H30" s="3">
        <v>0.33329999999999999</v>
      </c>
      <c r="I30" t="s">
        <v>40</v>
      </c>
      <c r="J30" s="2">
        <v>45721</v>
      </c>
      <c r="K30" s="2" t="s">
        <v>35</v>
      </c>
      <c r="L30" t="s">
        <v>41</v>
      </c>
    </row>
    <row r="31" spans="1:12" x14ac:dyDescent="0.3">
      <c r="A31" t="s">
        <v>94</v>
      </c>
      <c r="B31" s="2">
        <v>45712</v>
      </c>
      <c r="C31" t="s">
        <v>46</v>
      </c>
      <c r="D31" t="s">
        <v>33</v>
      </c>
      <c r="E31" s="1">
        <v>53000</v>
      </c>
      <c r="F31" s="1">
        <v>99000</v>
      </c>
      <c r="G31" s="1">
        <v>46000</v>
      </c>
      <c r="H31" s="3">
        <v>0.46460000000000001</v>
      </c>
      <c r="I31" t="s">
        <v>34</v>
      </c>
      <c r="J31" s="2">
        <v>45741</v>
      </c>
      <c r="K31" s="2">
        <v>45742</v>
      </c>
      <c r="L31" t="s">
        <v>35</v>
      </c>
    </row>
    <row r="32" spans="1:12" x14ac:dyDescent="0.3">
      <c r="A32" t="s">
        <v>93</v>
      </c>
      <c r="B32" s="2">
        <v>45713</v>
      </c>
      <c r="C32" t="s">
        <v>37</v>
      </c>
      <c r="D32" t="s">
        <v>39</v>
      </c>
      <c r="E32" s="1">
        <v>8500</v>
      </c>
      <c r="F32" s="1">
        <v>12500</v>
      </c>
      <c r="G32" s="1">
        <v>4000</v>
      </c>
      <c r="H32" s="3">
        <v>0.32</v>
      </c>
      <c r="I32" t="s">
        <v>34</v>
      </c>
      <c r="J32" s="2">
        <v>45724</v>
      </c>
      <c r="K32" s="2">
        <v>45724</v>
      </c>
      <c r="L32" t="s">
        <v>35</v>
      </c>
    </row>
    <row r="33" spans="1:12" x14ac:dyDescent="0.3">
      <c r="A33" t="s">
        <v>92</v>
      </c>
      <c r="B33" s="2">
        <v>45713</v>
      </c>
      <c r="C33" t="s">
        <v>43</v>
      </c>
      <c r="D33" t="s">
        <v>33</v>
      </c>
      <c r="E33" s="1">
        <v>26000</v>
      </c>
      <c r="F33" s="1">
        <v>46000</v>
      </c>
      <c r="G33" s="1">
        <v>20000</v>
      </c>
      <c r="H33" s="3">
        <v>0.43480000000000002</v>
      </c>
      <c r="I33" t="s">
        <v>34</v>
      </c>
      <c r="J33" s="2">
        <v>45734</v>
      </c>
      <c r="K33" s="2">
        <v>45734</v>
      </c>
      <c r="L33" t="s">
        <v>35</v>
      </c>
    </row>
    <row r="34" spans="1:12" x14ac:dyDescent="0.3">
      <c r="A34" t="s">
        <v>91</v>
      </c>
      <c r="B34" s="2">
        <v>45713</v>
      </c>
      <c r="C34" t="s">
        <v>37</v>
      </c>
      <c r="D34" t="s">
        <v>33</v>
      </c>
      <c r="E34" s="1">
        <v>7000</v>
      </c>
      <c r="F34" s="1">
        <v>11000</v>
      </c>
      <c r="G34" s="1">
        <v>4000</v>
      </c>
      <c r="H34" s="3">
        <v>0.36359999999999998</v>
      </c>
      <c r="I34" t="s">
        <v>40</v>
      </c>
      <c r="J34" s="2">
        <v>45721</v>
      </c>
      <c r="K34" s="2" t="s">
        <v>35</v>
      </c>
      <c r="L34" t="s">
        <v>50</v>
      </c>
    </row>
    <row r="35" spans="1:12" x14ac:dyDescent="0.3">
      <c r="A35" t="s">
        <v>90</v>
      </c>
      <c r="B35" s="2">
        <v>45716</v>
      </c>
      <c r="C35" t="s">
        <v>37</v>
      </c>
      <c r="D35" t="s">
        <v>33</v>
      </c>
      <c r="E35" s="1">
        <v>7800</v>
      </c>
      <c r="F35" s="1">
        <v>11800</v>
      </c>
      <c r="G35" s="1">
        <v>4000</v>
      </c>
      <c r="H35" s="3">
        <v>0.33900000000000002</v>
      </c>
      <c r="I35" t="s">
        <v>34</v>
      </c>
      <c r="J35" s="2">
        <v>45726</v>
      </c>
      <c r="K35" s="2">
        <v>45726</v>
      </c>
      <c r="L35" t="s">
        <v>35</v>
      </c>
    </row>
    <row r="36" spans="1:12" x14ac:dyDescent="0.3">
      <c r="A36" t="s">
        <v>89</v>
      </c>
      <c r="B36" s="2">
        <v>45716</v>
      </c>
      <c r="C36" t="s">
        <v>37</v>
      </c>
      <c r="D36" t="s">
        <v>33</v>
      </c>
      <c r="E36" s="1">
        <v>8000</v>
      </c>
      <c r="F36" s="1">
        <v>12000</v>
      </c>
      <c r="G36" s="1">
        <v>4000</v>
      </c>
      <c r="H36" s="3">
        <v>0.33329999999999999</v>
      </c>
      <c r="I36" t="s">
        <v>40</v>
      </c>
      <c r="J36" s="2">
        <v>45726</v>
      </c>
      <c r="K36" s="2" t="s">
        <v>35</v>
      </c>
      <c r="L36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A0B8-E39C-49C4-B45B-BCF6A8252D4E}">
  <dimension ref="A1:G8"/>
  <sheetViews>
    <sheetView workbookViewId="0">
      <selection activeCell="D19" sqref="D19"/>
    </sheetView>
  </sheetViews>
  <sheetFormatPr defaultRowHeight="14.4" x14ac:dyDescent="0.3"/>
  <cols>
    <col min="1" max="1" width="21.21875" customWidth="1"/>
    <col min="2" max="2" width="12" customWidth="1"/>
    <col min="3" max="3" width="15.77734375" customWidth="1"/>
    <col min="4" max="4" width="13.88671875" customWidth="1"/>
    <col min="5" max="5" width="24" customWidth="1"/>
    <col min="6" max="6" width="20.5546875" customWidth="1"/>
    <col min="7" max="7" width="14.21875" customWidth="1"/>
  </cols>
  <sheetData>
    <row r="1" spans="1:7" x14ac:dyDescent="0.3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3">
      <c r="A2" t="s">
        <v>70</v>
      </c>
      <c r="B2" t="s">
        <v>71</v>
      </c>
      <c r="C2">
        <v>100</v>
      </c>
      <c r="D2">
        <v>85</v>
      </c>
      <c r="E2">
        <v>15</v>
      </c>
      <c r="F2">
        <v>500</v>
      </c>
      <c r="G2" t="s">
        <v>72</v>
      </c>
    </row>
    <row r="3" spans="1:7" x14ac:dyDescent="0.3">
      <c r="A3" t="s">
        <v>73</v>
      </c>
      <c r="B3" t="s">
        <v>71</v>
      </c>
      <c r="C3">
        <v>50</v>
      </c>
      <c r="D3">
        <v>20</v>
      </c>
      <c r="E3">
        <v>30</v>
      </c>
      <c r="F3">
        <v>800</v>
      </c>
      <c r="G3" t="s">
        <v>74</v>
      </c>
    </row>
    <row r="4" spans="1:7" x14ac:dyDescent="0.3">
      <c r="A4" t="s">
        <v>75</v>
      </c>
      <c r="B4" t="s">
        <v>71</v>
      </c>
      <c r="C4">
        <v>40</v>
      </c>
      <c r="D4">
        <v>35</v>
      </c>
      <c r="E4">
        <v>5</v>
      </c>
      <c r="F4">
        <v>1200</v>
      </c>
      <c r="G4" t="s">
        <v>76</v>
      </c>
    </row>
    <row r="5" spans="1:7" x14ac:dyDescent="0.3">
      <c r="A5" t="s">
        <v>77</v>
      </c>
      <c r="B5" t="s">
        <v>78</v>
      </c>
      <c r="C5">
        <v>20</v>
      </c>
      <c r="D5">
        <v>18</v>
      </c>
      <c r="E5">
        <v>2</v>
      </c>
      <c r="F5">
        <v>2500</v>
      </c>
      <c r="G5" t="s">
        <v>76</v>
      </c>
    </row>
    <row r="6" spans="1:7" x14ac:dyDescent="0.3">
      <c r="A6" t="s">
        <v>79</v>
      </c>
      <c r="B6" t="s">
        <v>80</v>
      </c>
      <c r="C6">
        <v>50</v>
      </c>
      <c r="D6">
        <v>30</v>
      </c>
      <c r="E6">
        <v>20</v>
      </c>
      <c r="F6">
        <v>150</v>
      </c>
      <c r="G6" t="s">
        <v>74</v>
      </c>
    </row>
    <row r="7" spans="1:7" x14ac:dyDescent="0.3">
      <c r="A7" t="s">
        <v>81</v>
      </c>
      <c r="B7" t="s">
        <v>71</v>
      </c>
      <c r="C7">
        <v>100</v>
      </c>
      <c r="D7">
        <v>90</v>
      </c>
      <c r="E7">
        <v>10</v>
      </c>
      <c r="F7">
        <v>200</v>
      </c>
      <c r="G7" t="s">
        <v>72</v>
      </c>
    </row>
    <row r="8" spans="1:7" x14ac:dyDescent="0.3">
      <c r="A8" t="s">
        <v>82</v>
      </c>
      <c r="B8" t="s">
        <v>80</v>
      </c>
      <c r="C8">
        <v>30</v>
      </c>
      <c r="D8">
        <v>10</v>
      </c>
      <c r="E8">
        <v>20</v>
      </c>
      <c r="F8">
        <v>400</v>
      </c>
      <c r="G8" t="s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6AFA-EA34-4E33-8120-4B7521DECA9A}">
  <dimension ref="A1"/>
  <sheetViews>
    <sheetView workbookViewId="0">
      <selection activeCell="AF18" sqref="AF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524F-6BBA-4DB4-8054-37F48896B9A2}">
  <dimension ref="A3:D9"/>
  <sheetViews>
    <sheetView zoomScale="88" workbookViewId="0">
      <selection activeCell="H33" sqref="H33"/>
    </sheetView>
  </sheetViews>
  <sheetFormatPr defaultRowHeight="14.4" x14ac:dyDescent="0.3"/>
  <cols>
    <col min="1" max="2" width="15.5546875" bestFit="1" customWidth="1"/>
    <col min="3" max="3" width="9" bestFit="1" customWidth="1"/>
    <col min="4" max="4" width="10.5546875" bestFit="1" customWidth="1"/>
  </cols>
  <sheetData>
    <row r="3" spans="1:4" x14ac:dyDescent="0.3">
      <c r="A3" s="4" t="s">
        <v>87</v>
      </c>
      <c r="B3" s="4" t="s">
        <v>86</v>
      </c>
    </row>
    <row r="4" spans="1:4" x14ac:dyDescent="0.3">
      <c r="A4" s="4" t="s">
        <v>83</v>
      </c>
      <c r="B4" t="s">
        <v>40</v>
      </c>
      <c r="C4" t="s">
        <v>34</v>
      </c>
      <c r="D4" t="s">
        <v>84</v>
      </c>
    </row>
    <row r="5" spans="1:4" x14ac:dyDescent="0.3">
      <c r="A5" s="5" t="s">
        <v>32</v>
      </c>
      <c r="B5" s="3">
        <v>0</v>
      </c>
      <c r="C5" s="3">
        <v>1</v>
      </c>
      <c r="D5" s="3">
        <v>1</v>
      </c>
    </row>
    <row r="6" spans="1:4" x14ac:dyDescent="0.3">
      <c r="A6" s="5" t="s">
        <v>43</v>
      </c>
      <c r="B6" s="3">
        <v>0</v>
      </c>
      <c r="C6" s="3">
        <v>1</v>
      </c>
      <c r="D6" s="3">
        <v>1</v>
      </c>
    </row>
    <row r="7" spans="1:4" x14ac:dyDescent="0.3">
      <c r="A7" s="5" t="s">
        <v>37</v>
      </c>
      <c r="B7" s="3">
        <v>0.59090909090909094</v>
      </c>
      <c r="C7" s="3">
        <v>0.40909090909090912</v>
      </c>
      <c r="D7" s="3">
        <v>1</v>
      </c>
    </row>
    <row r="8" spans="1:4" x14ac:dyDescent="0.3">
      <c r="A8" s="5" t="s">
        <v>46</v>
      </c>
      <c r="B8" s="3">
        <v>0</v>
      </c>
      <c r="C8" s="3">
        <v>1</v>
      </c>
      <c r="D8" s="3">
        <v>1</v>
      </c>
    </row>
    <row r="9" spans="1:4" x14ac:dyDescent="0.3">
      <c r="A9" s="5" t="s">
        <v>84</v>
      </c>
      <c r="B9" s="3">
        <v>0.37142857142857144</v>
      </c>
      <c r="C9" s="3">
        <v>0.62857142857142856</v>
      </c>
      <c r="D9" s="3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7ABC-1C0C-4B1F-BED0-FAF13767945F}">
  <dimension ref="A1:B8"/>
  <sheetViews>
    <sheetView workbookViewId="0">
      <selection activeCell="C28" sqref="C28"/>
    </sheetView>
  </sheetViews>
  <sheetFormatPr defaultRowHeight="14.4" x14ac:dyDescent="0.3"/>
  <cols>
    <col min="1" max="1" width="20.77734375" bestFit="1" customWidth="1"/>
    <col min="2" max="2" width="15.5546875" bestFit="1" customWidth="1"/>
  </cols>
  <sheetData>
    <row r="1" spans="1:2" x14ac:dyDescent="0.3">
      <c r="A1" s="4" t="s">
        <v>27</v>
      </c>
      <c r="B1" t="s">
        <v>104</v>
      </c>
    </row>
    <row r="3" spans="1:2" x14ac:dyDescent="0.3">
      <c r="A3" s="4" t="s">
        <v>88</v>
      </c>
      <c r="B3" t="s">
        <v>87</v>
      </c>
    </row>
    <row r="4" spans="1:2" x14ac:dyDescent="0.3">
      <c r="A4" s="5" t="s">
        <v>56</v>
      </c>
      <c r="B4" s="6">
        <v>1</v>
      </c>
    </row>
    <row r="5" spans="1:2" x14ac:dyDescent="0.3">
      <c r="A5" s="5" t="s">
        <v>41</v>
      </c>
      <c r="B5" s="6">
        <v>9</v>
      </c>
    </row>
    <row r="6" spans="1:2" x14ac:dyDescent="0.3">
      <c r="A6" s="5" t="s">
        <v>50</v>
      </c>
      <c r="B6" s="6">
        <v>3</v>
      </c>
    </row>
    <row r="7" spans="1:2" x14ac:dyDescent="0.3">
      <c r="A7" s="5" t="s">
        <v>35</v>
      </c>
      <c r="B7" s="6">
        <v>22</v>
      </c>
    </row>
    <row r="8" spans="1:2" x14ac:dyDescent="0.3">
      <c r="A8" s="5" t="s">
        <v>84</v>
      </c>
      <c r="B8" s="6">
        <v>35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A5C6-5E56-4A4A-AAF4-F082F4B3A9FE}">
  <dimension ref="A1:B18"/>
  <sheetViews>
    <sheetView workbookViewId="0">
      <selection activeCell="B27" sqref="B27"/>
    </sheetView>
  </sheetViews>
  <sheetFormatPr defaultRowHeight="14.4" x14ac:dyDescent="0.3"/>
  <cols>
    <col min="1" max="1" width="12.44140625" bestFit="1" customWidth="1"/>
    <col min="2" max="2" width="15.77734375" bestFit="1" customWidth="1"/>
    <col min="3" max="3" width="16.77734375" bestFit="1" customWidth="1"/>
  </cols>
  <sheetData>
    <row r="1" spans="1:2" x14ac:dyDescent="0.3">
      <c r="A1" s="4" t="s">
        <v>27</v>
      </c>
      <c r="B1" t="s">
        <v>40</v>
      </c>
    </row>
    <row r="3" spans="1:2" x14ac:dyDescent="0.3">
      <c r="A3" s="4" t="s">
        <v>83</v>
      </c>
      <c r="B3" t="s">
        <v>85</v>
      </c>
    </row>
    <row r="4" spans="1:2" x14ac:dyDescent="0.3">
      <c r="A4" s="5" t="s">
        <v>37</v>
      </c>
      <c r="B4" s="6">
        <v>51800</v>
      </c>
    </row>
    <row r="5" spans="1:2" x14ac:dyDescent="0.3">
      <c r="A5" s="5" t="s">
        <v>84</v>
      </c>
      <c r="B5" s="6">
        <v>51800</v>
      </c>
    </row>
    <row r="11" spans="1:2" x14ac:dyDescent="0.3">
      <c r="A11" s="4" t="s">
        <v>27</v>
      </c>
      <c r="B11" t="s">
        <v>34</v>
      </c>
    </row>
    <row r="13" spans="1:2" x14ac:dyDescent="0.3">
      <c r="A13" s="4" t="s">
        <v>83</v>
      </c>
      <c r="B13" t="s">
        <v>85</v>
      </c>
    </row>
    <row r="14" spans="1:2" x14ac:dyDescent="0.3">
      <c r="A14" s="5" t="s">
        <v>32</v>
      </c>
      <c r="B14" s="6">
        <v>169000</v>
      </c>
    </row>
    <row r="15" spans="1:2" x14ac:dyDescent="0.3">
      <c r="A15" s="5" t="s">
        <v>43</v>
      </c>
      <c r="B15" s="6">
        <v>94000</v>
      </c>
    </row>
    <row r="16" spans="1:2" x14ac:dyDescent="0.3">
      <c r="A16" s="5" t="s">
        <v>37</v>
      </c>
      <c r="B16" s="6">
        <v>36000</v>
      </c>
    </row>
    <row r="17" spans="1:2" x14ac:dyDescent="0.3">
      <c r="A17" s="5" t="s">
        <v>46</v>
      </c>
      <c r="B17" s="6">
        <v>182000</v>
      </c>
    </row>
    <row r="18" spans="1:2" x14ac:dyDescent="0.3">
      <c r="A18" s="5" t="s">
        <v>84</v>
      </c>
      <c r="B18" s="6">
        <v>481000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20CC-BFA7-4466-93AC-3A5694122501}">
  <dimension ref="A3:D22"/>
  <sheetViews>
    <sheetView workbookViewId="0">
      <selection activeCell="B28" sqref="B28"/>
    </sheetView>
  </sheetViews>
  <sheetFormatPr defaultRowHeight="14.4" x14ac:dyDescent="0.3"/>
  <cols>
    <col min="1" max="2" width="15.5546875" bestFit="1" customWidth="1"/>
    <col min="3" max="3" width="9" bestFit="1" customWidth="1"/>
    <col min="4" max="4" width="10.5546875" bestFit="1" customWidth="1"/>
  </cols>
  <sheetData>
    <row r="3" spans="1:4" x14ac:dyDescent="0.3">
      <c r="A3" s="4" t="s">
        <v>87</v>
      </c>
      <c r="B3" s="4" t="s">
        <v>86</v>
      </c>
    </row>
    <row r="4" spans="1:4" x14ac:dyDescent="0.3">
      <c r="A4" s="4" t="s">
        <v>83</v>
      </c>
      <c r="B4" t="s">
        <v>40</v>
      </c>
      <c r="C4" t="s">
        <v>34</v>
      </c>
      <c r="D4" t="s">
        <v>84</v>
      </c>
    </row>
    <row r="5" spans="1:4" x14ac:dyDescent="0.3">
      <c r="A5" s="7">
        <v>45689</v>
      </c>
      <c r="B5" s="6"/>
      <c r="C5" s="6">
        <v>2</v>
      </c>
      <c r="D5" s="6">
        <v>2</v>
      </c>
    </row>
    <row r="6" spans="1:4" x14ac:dyDescent="0.3">
      <c r="A6" s="7">
        <v>45690</v>
      </c>
      <c r="B6" s="6">
        <v>1</v>
      </c>
      <c r="C6" s="6"/>
      <c r="D6" s="6">
        <v>1</v>
      </c>
    </row>
    <row r="7" spans="1:4" x14ac:dyDescent="0.3">
      <c r="A7" s="7">
        <v>45691</v>
      </c>
      <c r="B7" s="6">
        <v>1</v>
      </c>
      <c r="C7" s="6">
        <v>2</v>
      </c>
      <c r="D7" s="6">
        <v>3</v>
      </c>
    </row>
    <row r="8" spans="1:4" x14ac:dyDescent="0.3">
      <c r="A8" s="7">
        <v>45693</v>
      </c>
      <c r="B8" s="6">
        <v>1</v>
      </c>
      <c r="C8" s="6">
        <v>1</v>
      </c>
      <c r="D8" s="6">
        <v>2</v>
      </c>
    </row>
    <row r="9" spans="1:4" x14ac:dyDescent="0.3">
      <c r="A9" s="7">
        <v>45694</v>
      </c>
      <c r="B9" s="6">
        <v>1</v>
      </c>
      <c r="C9" s="6">
        <v>1</v>
      </c>
      <c r="D9" s="6">
        <v>2</v>
      </c>
    </row>
    <row r="10" spans="1:4" x14ac:dyDescent="0.3">
      <c r="A10" s="7">
        <v>45695</v>
      </c>
      <c r="B10" s="6">
        <v>1</v>
      </c>
      <c r="C10" s="6">
        <v>2</v>
      </c>
      <c r="D10" s="6">
        <v>3</v>
      </c>
    </row>
    <row r="11" spans="1:4" x14ac:dyDescent="0.3">
      <c r="A11" s="7">
        <v>45697</v>
      </c>
      <c r="B11" s="6"/>
      <c r="C11" s="6">
        <v>1</v>
      </c>
      <c r="D11" s="6">
        <v>1</v>
      </c>
    </row>
    <row r="12" spans="1:4" x14ac:dyDescent="0.3">
      <c r="A12" s="7">
        <v>45698</v>
      </c>
      <c r="B12" s="6">
        <v>1</v>
      </c>
      <c r="C12" s="6">
        <v>1</v>
      </c>
      <c r="D12" s="6">
        <v>2</v>
      </c>
    </row>
    <row r="13" spans="1:4" x14ac:dyDescent="0.3">
      <c r="A13" s="7">
        <v>45700</v>
      </c>
      <c r="B13" s="6">
        <v>1</v>
      </c>
      <c r="C13" s="6">
        <v>2</v>
      </c>
      <c r="D13" s="6">
        <v>3</v>
      </c>
    </row>
    <row r="14" spans="1:4" x14ac:dyDescent="0.3">
      <c r="A14" s="7">
        <v>45701</v>
      </c>
      <c r="B14" s="6">
        <v>1</v>
      </c>
      <c r="C14" s="6">
        <v>1</v>
      </c>
      <c r="D14" s="6">
        <v>2</v>
      </c>
    </row>
    <row r="15" spans="1:4" x14ac:dyDescent="0.3">
      <c r="A15" s="7">
        <v>45703</v>
      </c>
      <c r="B15" s="6">
        <v>1</v>
      </c>
      <c r="C15" s="6">
        <v>1</v>
      </c>
      <c r="D15" s="6">
        <v>2</v>
      </c>
    </row>
    <row r="16" spans="1:4" x14ac:dyDescent="0.3">
      <c r="A16" s="7">
        <v>45706</v>
      </c>
      <c r="B16" s="6"/>
      <c r="C16" s="6">
        <v>2</v>
      </c>
      <c r="D16" s="6">
        <v>2</v>
      </c>
    </row>
    <row r="17" spans="1:4" x14ac:dyDescent="0.3">
      <c r="A17" s="7">
        <v>45708</v>
      </c>
      <c r="B17" s="6"/>
      <c r="C17" s="6">
        <v>2</v>
      </c>
      <c r="D17" s="6">
        <v>2</v>
      </c>
    </row>
    <row r="18" spans="1:4" x14ac:dyDescent="0.3">
      <c r="A18" s="7">
        <v>45710</v>
      </c>
      <c r="B18" s="6">
        <v>2</v>
      </c>
      <c r="C18" s="6"/>
      <c r="D18" s="6">
        <v>2</v>
      </c>
    </row>
    <row r="19" spans="1:4" x14ac:dyDescent="0.3">
      <c r="A19" s="7">
        <v>45712</v>
      </c>
      <c r="B19" s="6"/>
      <c r="C19" s="6">
        <v>1</v>
      </c>
      <c r="D19" s="6">
        <v>1</v>
      </c>
    </row>
    <row r="20" spans="1:4" x14ac:dyDescent="0.3">
      <c r="A20" s="7">
        <v>45713</v>
      </c>
      <c r="B20" s="6">
        <v>1</v>
      </c>
      <c r="C20" s="6">
        <v>2</v>
      </c>
      <c r="D20" s="6">
        <v>3</v>
      </c>
    </row>
    <row r="21" spans="1:4" x14ac:dyDescent="0.3">
      <c r="A21" s="7">
        <v>45716</v>
      </c>
      <c r="B21" s="6">
        <v>1</v>
      </c>
      <c r="C21" s="6">
        <v>1</v>
      </c>
      <c r="D21" s="6">
        <v>2</v>
      </c>
    </row>
    <row r="22" spans="1:4" x14ac:dyDescent="0.3">
      <c r="A22" s="7" t="s">
        <v>84</v>
      </c>
      <c r="B22" s="6">
        <v>13</v>
      </c>
      <c r="C22" s="6">
        <v>22</v>
      </c>
      <c r="D22" s="6">
        <v>35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070A-1024-4C0C-8B9A-3B827C4FAA3B}">
  <dimension ref="A3:B8"/>
  <sheetViews>
    <sheetView workbookViewId="0">
      <selection activeCell="N18" sqref="N18"/>
    </sheetView>
  </sheetViews>
  <sheetFormatPr defaultRowHeight="14.4" x14ac:dyDescent="0.3"/>
  <cols>
    <col min="1" max="1" width="12.44140625" bestFit="1" customWidth="1"/>
    <col min="2" max="2" width="15.77734375" bestFit="1" customWidth="1"/>
  </cols>
  <sheetData>
    <row r="3" spans="1:2" x14ac:dyDescent="0.3">
      <c r="A3" s="4" t="s">
        <v>83</v>
      </c>
      <c r="B3" t="s">
        <v>85</v>
      </c>
    </row>
    <row r="4" spans="1:2" x14ac:dyDescent="0.3">
      <c r="A4" s="5" t="s">
        <v>32</v>
      </c>
      <c r="B4" s="3">
        <v>0.31719219219219219</v>
      </c>
    </row>
    <row r="5" spans="1:2" x14ac:dyDescent="0.3">
      <c r="A5" s="5" t="s">
        <v>43</v>
      </c>
      <c r="B5" s="3">
        <v>0.17642642642642642</v>
      </c>
    </row>
    <row r="6" spans="1:2" x14ac:dyDescent="0.3">
      <c r="A6" s="5" t="s">
        <v>37</v>
      </c>
      <c r="B6" s="3">
        <v>0.16478978978978978</v>
      </c>
    </row>
    <row r="7" spans="1:2" x14ac:dyDescent="0.3">
      <c r="A7" s="5" t="s">
        <v>46</v>
      </c>
      <c r="B7" s="3">
        <v>0.34159159159159158</v>
      </c>
    </row>
    <row r="8" spans="1:2" x14ac:dyDescent="0.3">
      <c r="A8" s="5" t="s">
        <v>84</v>
      </c>
      <c r="B8" s="3"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7517-6797-4292-B7E4-B47EDF7571B3}">
  <dimension ref="A3:B8"/>
  <sheetViews>
    <sheetView workbookViewId="0">
      <selection activeCell="J23" sqref="J23"/>
    </sheetView>
  </sheetViews>
  <sheetFormatPr defaultRowHeight="14.4" x14ac:dyDescent="0.3"/>
  <cols>
    <col min="1" max="1" width="12.44140625" bestFit="1" customWidth="1"/>
    <col min="2" max="2" width="24.5546875" bestFit="1" customWidth="1"/>
  </cols>
  <sheetData>
    <row r="3" spans="1:2" x14ac:dyDescent="0.3">
      <c r="A3" s="4" t="s">
        <v>83</v>
      </c>
      <c r="B3" s="8" t="s">
        <v>106</v>
      </c>
    </row>
    <row r="4" spans="1:2" x14ac:dyDescent="0.3">
      <c r="A4" s="5" t="s">
        <v>32</v>
      </c>
      <c r="B4" s="8">
        <v>0.47207500000000002</v>
      </c>
    </row>
    <row r="5" spans="1:2" x14ac:dyDescent="0.3">
      <c r="A5" s="5" t="s">
        <v>43</v>
      </c>
      <c r="B5" s="8">
        <v>0.43936000000000003</v>
      </c>
    </row>
    <row r="6" spans="1:2" x14ac:dyDescent="0.3">
      <c r="A6" s="5" t="s">
        <v>37</v>
      </c>
      <c r="B6" s="8">
        <v>0.33348636363636369</v>
      </c>
    </row>
    <row r="7" spans="1:2" x14ac:dyDescent="0.3">
      <c r="A7" s="5" t="s">
        <v>46</v>
      </c>
      <c r="B7" s="8">
        <v>0.46442499999999998</v>
      </c>
    </row>
    <row r="8" spans="1:2" x14ac:dyDescent="0.3">
      <c r="A8" s="5" t="s">
        <v>84</v>
      </c>
      <c r="B8" s="8">
        <v>0.3794142857142857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4E71-49FD-403F-9C04-15C5D282DA36}">
  <dimension ref="A3:B8"/>
  <sheetViews>
    <sheetView workbookViewId="0">
      <selection activeCell="D27" sqref="D27"/>
    </sheetView>
  </sheetViews>
  <sheetFormatPr defaultRowHeight="14.4" x14ac:dyDescent="0.3"/>
  <cols>
    <col min="1" max="1" width="12.44140625" bestFit="1" customWidth="1"/>
    <col min="2" max="2" width="16.77734375" bestFit="1" customWidth="1"/>
  </cols>
  <sheetData>
    <row r="3" spans="1:2" x14ac:dyDescent="0.3">
      <c r="A3" s="4" t="s">
        <v>83</v>
      </c>
      <c r="B3" t="s">
        <v>105</v>
      </c>
    </row>
    <row r="4" spans="1:2" x14ac:dyDescent="0.3">
      <c r="A4" s="5" t="s">
        <v>32</v>
      </c>
      <c r="B4" s="6">
        <v>4</v>
      </c>
    </row>
    <row r="5" spans="1:2" x14ac:dyDescent="0.3">
      <c r="A5" s="5" t="s">
        <v>43</v>
      </c>
      <c r="B5" s="6">
        <v>5</v>
      </c>
    </row>
    <row r="6" spans="1:2" x14ac:dyDescent="0.3">
      <c r="A6" s="5" t="s">
        <v>37</v>
      </c>
      <c r="B6" s="6">
        <v>22</v>
      </c>
    </row>
    <row r="7" spans="1:2" x14ac:dyDescent="0.3">
      <c r="A7" s="5" t="s">
        <v>46</v>
      </c>
      <c r="B7" s="6">
        <v>4</v>
      </c>
    </row>
    <row r="8" spans="1:2" x14ac:dyDescent="0.3">
      <c r="A8" s="5" t="s">
        <v>84</v>
      </c>
      <c r="B8" s="6">
        <v>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Interview</vt:lpstr>
      <vt:lpstr>One Month Transaction Data</vt:lpstr>
      <vt:lpstr>Inventory Data</vt:lpstr>
      <vt:lpstr>Dashboard</vt:lpstr>
      <vt:lpstr>Cancellation Rate</vt:lpstr>
      <vt:lpstr>Cancellation Reason</vt:lpstr>
      <vt:lpstr>Profit and Loss</vt:lpstr>
      <vt:lpstr>Daily Order Trend</vt:lpstr>
      <vt:lpstr>Total Profit Contribution</vt:lpstr>
      <vt:lpstr>Average Profit Margin</vt:lpstr>
      <vt:lpstr>Order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Ahmad</dc:creator>
  <cp:lastModifiedBy>Eman Ahmad</cp:lastModifiedBy>
  <dcterms:created xsi:type="dcterms:W3CDTF">2025-12-10T07:48:13Z</dcterms:created>
  <dcterms:modified xsi:type="dcterms:W3CDTF">2025-12-10T16:13:22Z</dcterms:modified>
</cp:coreProperties>
</file>